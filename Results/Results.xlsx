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User\Desktop\Results\"/>
    </mc:Choice>
  </mc:AlternateContent>
  <xr:revisionPtr revIDLastSave="0" documentId="13_ncr:1_{C12F35DD-B81A-4A59-8423-306B12D13436}" xr6:coauthVersionLast="47" xr6:coauthVersionMax="47" xr10:uidLastSave="{00000000-0000-0000-0000-000000000000}"/>
  <bookViews>
    <workbookView xWindow="-108" yWindow="-108" windowWidth="23256" windowHeight="12456" tabRatio="909" xr2:uid="{00000000-000D-0000-FFFF-FFFF00000000}"/>
  </bookViews>
  <sheets>
    <sheet name="Summary of Results" sheetId="26" r:id="rId1"/>
    <sheet name="Ablations " sheetId="25" r:id="rId2"/>
    <sheet name="&gt;&gt;&gt;" sheetId="27" r:id="rId3"/>
    <sheet name="BAF" sheetId="23" r:id="rId4"/>
    <sheet name="Fraud Detection" sheetId="28" r:id="rId5"/>
    <sheet name="Road_safety" sheetId="29" r:id="rId6"/>
    <sheet name="NIDS" sheetId="30" r:id="rId7"/>
    <sheet name="Epsilon30" sheetId="31" r:id="rId8"/>
    <sheet name="Adult" sheetId="32" r:id="rId9"/>
    <sheet name="Card Default" sheetId="3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26" l="1"/>
  <c r="J51" i="26"/>
  <c r="J50" i="26"/>
  <c r="J49" i="26"/>
  <c r="J48" i="26"/>
  <c r="I52" i="26"/>
  <c r="I51" i="26"/>
  <c r="I50" i="26"/>
  <c r="I49" i="26"/>
  <c r="I48" i="26"/>
  <c r="I47" i="26"/>
  <c r="K6" i="25"/>
  <c r="K5" i="25"/>
  <c r="K4" i="25"/>
  <c r="K3" i="25"/>
  <c r="J37" i="33"/>
  <c r="K37" i="33" s="1"/>
  <c r="L37" i="33" s="1"/>
  <c r="G37" i="33"/>
  <c r="H37" i="33" s="1"/>
  <c r="I37" i="33" s="1"/>
  <c r="D37" i="33"/>
  <c r="E37" i="33" s="1"/>
  <c r="F37" i="33" s="1"/>
  <c r="J36" i="33"/>
  <c r="K36" i="33" s="1"/>
  <c r="L36" i="33" s="1"/>
  <c r="G36" i="33"/>
  <c r="H36" i="33" s="1"/>
  <c r="I36" i="33" s="1"/>
  <c r="D36" i="33"/>
  <c r="E36" i="33" s="1"/>
  <c r="F36" i="33" s="1"/>
  <c r="J35" i="33"/>
  <c r="K35" i="33" s="1"/>
  <c r="L35" i="33" s="1"/>
  <c r="G35" i="33"/>
  <c r="H35" i="33" s="1"/>
  <c r="I35" i="33" s="1"/>
  <c r="D35" i="33"/>
  <c r="E35" i="33" s="1"/>
  <c r="F35" i="33" s="1"/>
  <c r="J34" i="33"/>
  <c r="K34" i="33" s="1"/>
  <c r="L34" i="33" s="1"/>
  <c r="G34" i="33"/>
  <c r="H34" i="33" s="1"/>
  <c r="I34" i="33" s="1"/>
  <c r="D34" i="33"/>
  <c r="J33" i="33"/>
  <c r="K33" i="33" s="1"/>
  <c r="L33" i="33" s="1"/>
  <c r="G33" i="33"/>
  <c r="H33" i="33" s="1"/>
  <c r="I33" i="33" s="1"/>
  <c r="D33" i="33"/>
  <c r="J29" i="33"/>
  <c r="K29" i="33" s="1"/>
  <c r="L29" i="33" s="1"/>
  <c r="G29" i="33"/>
  <c r="H29" i="33" s="1"/>
  <c r="I29" i="33" s="1"/>
  <c r="D29" i="33"/>
  <c r="E29" i="33" s="1"/>
  <c r="F29" i="33" s="1"/>
  <c r="J28" i="33"/>
  <c r="K28" i="33" s="1"/>
  <c r="L28" i="33" s="1"/>
  <c r="G28" i="33"/>
  <c r="H28" i="33" s="1"/>
  <c r="I28" i="33" s="1"/>
  <c r="D28" i="33"/>
  <c r="E28" i="33" s="1"/>
  <c r="F28" i="33" s="1"/>
  <c r="J27" i="33"/>
  <c r="K27" i="33" s="1"/>
  <c r="L27" i="33" s="1"/>
  <c r="G27" i="33"/>
  <c r="H27" i="33" s="1"/>
  <c r="I27" i="33" s="1"/>
  <c r="D27" i="33"/>
  <c r="E27" i="33" s="1"/>
  <c r="F27" i="33" s="1"/>
  <c r="J26" i="33"/>
  <c r="K26" i="33" s="1"/>
  <c r="L26" i="33" s="1"/>
  <c r="G26" i="33"/>
  <c r="H26" i="33" s="1"/>
  <c r="I26" i="33" s="1"/>
  <c r="D26" i="33"/>
  <c r="J25" i="33"/>
  <c r="K25" i="33" s="1"/>
  <c r="L25" i="33" s="1"/>
  <c r="G25" i="33"/>
  <c r="H25" i="33" s="1"/>
  <c r="I25" i="33" s="1"/>
  <c r="D25" i="33"/>
  <c r="J21" i="33"/>
  <c r="K21" i="33" s="1"/>
  <c r="L21" i="33" s="1"/>
  <c r="G21" i="33"/>
  <c r="H21" i="33" s="1"/>
  <c r="I21" i="33" s="1"/>
  <c r="D21" i="33"/>
  <c r="E21" i="33" s="1"/>
  <c r="F21" i="33" s="1"/>
  <c r="J20" i="33"/>
  <c r="K20" i="33" s="1"/>
  <c r="L20" i="33" s="1"/>
  <c r="G20" i="33"/>
  <c r="H20" i="33" s="1"/>
  <c r="I20" i="33" s="1"/>
  <c r="D20" i="33"/>
  <c r="E20" i="33" s="1"/>
  <c r="F20" i="33" s="1"/>
  <c r="J19" i="33"/>
  <c r="K19" i="33" s="1"/>
  <c r="L19" i="33" s="1"/>
  <c r="G19" i="33"/>
  <c r="H19" i="33" s="1"/>
  <c r="I19" i="33" s="1"/>
  <c r="D19" i="33"/>
  <c r="E19" i="33" s="1"/>
  <c r="F19" i="33" s="1"/>
  <c r="J18" i="33"/>
  <c r="K18" i="33" s="1"/>
  <c r="L18" i="33" s="1"/>
  <c r="G18" i="33"/>
  <c r="H18" i="33" s="1"/>
  <c r="I18" i="33" s="1"/>
  <c r="D18" i="33"/>
  <c r="J17" i="33"/>
  <c r="K17" i="33" s="1"/>
  <c r="L17" i="33" s="1"/>
  <c r="G17" i="33"/>
  <c r="H17" i="33" s="1"/>
  <c r="I17" i="33" s="1"/>
  <c r="D17" i="33"/>
  <c r="E17" i="33" s="1"/>
  <c r="F17" i="33" s="1"/>
  <c r="C17" i="33"/>
  <c r="J13" i="33"/>
  <c r="K13" i="33" s="1"/>
  <c r="L13" i="33" s="1"/>
  <c r="G13" i="33"/>
  <c r="H13" i="33" s="1"/>
  <c r="I13" i="33" s="1"/>
  <c r="D13" i="33"/>
  <c r="E13" i="33" s="1"/>
  <c r="F13" i="33" s="1"/>
  <c r="J12" i="33"/>
  <c r="K12" i="33" s="1"/>
  <c r="L12" i="33" s="1"/>
  <c r="G12" i="33"/>
  <c r="H12" i="33" s="1"/>
  <c r="I12" i="33" s="1"/>
  <c r="D12" i="33"/>
  <c r="E12" i="33" s="1"/>
  <c r="F12" i="33" s="1"/>
  <c r="J11" i="33"/>
  <c r="K11" i="33" s="1"/>
  <c r="L11" i="33" s="1"/>
  <c r="G11" i="33"/>
  <c r="H11" i="33" s="1"/>
  <c r="I11" i="33" s="1"/>
  <c r="D11" i="33"/>
  <c r="E11" i="33" s="1"/>
  <c r="F11" i="33" s="1"/>
  <c r="J10" i="33"/>
  <c r="K10" i="33" s="1"/>
  <c r="L10" i="33" s="1"/>
  <c r="G10" i="33"/>
  <c r="H10" i="33" s="1"/>
  <c r="I10" i="33" s="1"/>
  <c r="D10" i="33"/>
  <c r="J9" i="33"/>
  <c r="K9" i="33" s="1"/>
  <c r="L9" i="33" s="1"/>
  <c r="G9" i="33"/>
  <c r="H9" i="33" s="1"/>
  <c r="I9" i="33" s="1"/>
  <c r="D9" i="33"/>
  <c r="E9" i="33" s="1"/>
  <c r="F9" i="33" s="1"/>
  <c r="J46" i="26"/>
  <c r="J45" i="26"/>
  <c r="J44" i="26"/>
  <c r="J43" i="26"/>
  <c r="J42" i="26"/>
  <c r="I46" i="26"/>
  <c r="I45" i="26"/>
  <c r="I44" i="26"/>
  <c r="I43" i="26"/>
  <c r="I42" i="26"/>
  <c r="I41" i="26"/>
  <c r="J6" i="25"/>
  <c r="J5" i="25"/>
  <c r="J4" i="25"/>
  <c r="J3" i="25"/>
  <c r="J37" i="32"/>
  <c r="K37" i="32" s="1"/>
  <c r="L37" i="32" s="1"/>
  <c r="G37" i="32"/>
  <c r="H37" i="32" s="1"/>
  <c r="I37" i="32" s="1"/>
  <c r="D37" i="32"/>
  <c r="E37" i="32" s="1"/>
  <c r="F37" i="32" s="1"/>
  <c r="J36" i="32"/>
  <c r="K36" i="32" s="1"/>
  <c r="L36" i="32" s="1"/>
  <c r="G36" i="32"/>
  <c r="H36" i="32" s="1"/>
  <c r="I36" i="32" s="1"/>
  <c r="D36" i="32"/>
  <c r="E36" i="32" s="1"/>
  <c r="F36" i="32" s="1"/>
  <c r="J35" i="32"/>
  <c r="K35" i="32" s="1"/>
  <c r="L35" i="32" s="1"/>
  <c r="G35" i="32"/>
  <c r="H35" i="32" s="1"/>
  <c r="I35" i="32" s="1"/>
  <c r="D35" i="32"/>
  <c r="E35" i="32" s="1"/>
  <c r="F35" i="32" s="1"/>
  <c r="J34" i="32"/>
  <c r="K34" i="32" s="1"/>
  <c r="L34" i="32" s="1"/>
  <c r="G34" i="32"/>
  <c r="H34" i="32" s="1"/>
  <c r="I34" i="32" s="1"/>
  <c r="D34" i="32"/>
  <c r="J33" i="32"/>
  <c r="K33" i="32" s="1"/>
  <c r="L33" i="32" s="1"/>
  <c r="G33" i="32"/>
  <c r="H33" i="32" s="1"/>
  <c r="I33" i="32" s="1"/>
  <c r="D33" i="32"/>
  <c r="J29" i="32"/>
  <c r="K29" i="32" s="1"/>
  <c r="L29" i="32" s="1"/>
  <c r="G29" i="32"/>
  <c r="H29" i="32" s="1"/>
  <c r="I29" i="32" s="1"/>
  <c r="D29" i="32"/>
  <c r="E29" i="32" s="1"/>
  <c r="F29" i="32" s="1"/>
  <c r="J28" i="32"/>
  <c r="K28" i="32" s="1"/>
  <c r="L28" i="32" s="1"/>
  <c r="G28" i="32"/>
  <c r="H28" i="32" s="1"/>
  <c r="I28" i="32" s="1"/>
  <c r="D28" i="32"/>
  <c r="E28" i="32" s="1"/>
  <c r="F28" i="32" s="1"/>
  <c r="J27" i="32"/>
  <c r="K27" i="32" s="1"/>
  <c r="L27" i="32" s="1"/>
  <c r="G27" i="32"/>
  <c r="H27" i="32" s="1"/>
  <c r="I27" i="32" s="1"/>
  <c r="D27" i="32"/>
  <c r="E27" i="32" s="1"/>
  <c r="F27" i="32" s="1"/>
  <c r="J26" i="32"/>
  <c r="K26" i="32" s="1"/>
  <c r="L26" i="32" s="1"/>
  <c r="G26" i="32"/>
  <c r="H26" i="32" s="1"/>
  <c r="I26" i="32" s="1"/>
  <c r="D26" i="32"/>
  <c r="J25" i="32"/>
  <c r="K25" i="32" s="1"/>
  <c r="L25" i="32" s="1"/>
  <c r="G25" i="32"/>
  <c r="H25" i="32" s="1"/>
  <c r="I25" i="32" s="1"/>
  <c r="D25" i="32"/>
  <c r="J21" i="32"/>
  <c r="K21" i="32" s="1"/>
  <c r="L21" i="32" s="1"/>
  <c r="G21" i="32"/>
  <c r="H21" i="32" s="1"/>
  <c r="I21" i="32" s="1"/>
  <c r="D21" i="32"/>
  <c r="E21" i="32" s="1"/>
  <c r="F21" i="32" s="1"/>
  <c r="J20" i="32"/>
  <c r="K20" i="32" s="1"/>
  <c r="L20" i="32" s="1"/>
  <c r="G20" i="32"/>
  <c r="H20" i="32" s="1"/>
  <c r="I20" i="32" s="1"/>
  <c r="D20" i="32"/>
  <c r="E20" i="32" s="1"/>
  <c r="F20" i="32" s="1"/>
  <c r="J19" i="32"/>
  <c r="K19" i="32" s="1"/>
  <c r="L19" i="32" s="1"/>
  <c r="G19" i="32"/>
  <c r="H19" i="32" s="1"/>
  <c r="I19" i="32" s="1"/>
  <c r="D19" i="32"/>
  <c r="E19" i="32" s="1"/>
  <c r="F19" i="32" s="1"/>
  <c r="J18" i="32"/>
  <c r="K18" i="32" s="1"/>
  <c r="L18" i="32" s="1"/>
  <c r="G18" i="32"/>
  <c r="H18" i="32" s="1"/>
  <c r="I18" i="32" s="1"/>
  <c r="D18" i="32"/>
  <c r="J17" i="32"/>
  <c r="K17" i="32" s="1"/>
  <c r="L17" i="32" s="1"/>
  <c r="G17" i="32"/>
  <c r="H17" i="32" s="1"/>
  <c r="I17" i="32" s="1"/>
  <c r="D17" i="32"/>
  <c r="J13" i="32"/>
  <c r="K13" i="32" s="1"/>
  <c r="L13" i="32" s="1"/>
  <c r="G13" i="32"/>
  <c r="H13" i="32" s="1"/>
  <c r="I13" i="32" s="1"/>
  <c r="D13" i="32"/>
  <c r="E13" i="32" s="1"/>
  <c r="F13" i="32" s="1"/>
  <c r="J12" i="32"/>
  <c r="K12" i="32" s="1"/>
  <c r="L12" i="32" s="1"/>
  <c r="G12" i="32"/>
  <c r="H12" i="32" s="1"/>
  <c r="I12" i="32" s="1"/>
  <c r="D12" i="32"/>
  <c r="E12" i="32" s="1"/>
  <c r="F12" i="32" s="1"/>
  <c r="J11" i="32"/>
  <c r="K11" i="32" s="1"/>
  <c r="L11" i="32" s="1"/>
  <c r="G11" i="32"/>
  <c r="H11" i="32" s="1"/>
  <c r="I11" i="32" s="1"/>
  <c r="D11" i="32"/>
  <c r="E11" i="32" s="1"/>
  <c r="F11" i="32" s="1"/>
  <c r="J10" i="32"/>
  <c r="K10" i="32" s="1"/>
  <c r="L10" i="32" s="1"/>
  <c r="G10" i="32"/>
  <c r="H10" i="32" s="1"/>
  <c r="I10" i="32" s="1"/>
  <c r="D10" i="32"/>
  <c r="J9" i="32"/>
  <c r="K9" i="32" s="1"/>
  <c r="L9" i="32" s="1"/>
  <c r="G9" i="32"/>
  <c r="H9" i="32" s="1"/>
  <c r="I9" i="32" s="1"/>
  <c r="D9" i="32"/>
  <c r="J40" i="26"/>
  <c r="J39" i="26"/>
  <c r="J38" i="26"/>
  <c r="J37" i="26"/>
  <c r="J36" i="26"/>
  <c r="I40" i="26"/>
  <c r="I39" i="26"/>
  <c r="I38" i="26"/>
  <c r="I37" i="26"/>
  <c r="I36" i="26"/>
  <c r="I35" i="26"/>
  <c r="I6" i="25"/>
  <c r="I5" i="25"/>
  <c r="I4" i="25"/>
  <c r="I3" i="25"/>
  <c r="J37" i="31"/>
  <c r="K37" i="31" s="1"/>
  <c r="L37" i="31" s="1"/>
  <c r="G37" i="31"/>
  <c r="H37" i="31" s="1"/>
  <c r="I37" i="31" s="1"/>
  <c r="D37" i="31"/>
  <c r="E37" i="31" s="1"/>
  <c r="F37" i="31" s="1"/>
  <c r="J36" i="31"/>
  <c r="K36" i="31" s="1"/>
  <c r="L36" i="31" s="1"/>
  <c r="G36" i="31"/>
  <c r="H36" i="31" s="1"/>
  <c r="I36" i="31" s="1"/>
  <c r="D36" i="31"/>
  <c r="E36" i="31" s="1"/>
  <c r="F36" i="31" s="1"/>
  <c r="J35" i="31"/>
  <c r="K35" i="31" s="1"/>
  <c r="L35" i="31" s="1"/>
  <c r="G35" i="31"/>
  <c r="H35" i="31" s="1"/>
  <c r="I35" i="31" s="1"/>
  <c r="D35" i="31"/>
  <c r="E35" i="31" s="1"/>
  <c r="F35" i="31" s="1"/>
  <c r="J34" i="31"/>
  <c r="K34" i="31" s="1"/>
  <c r="L34" i="31" s="1"/>
  <c r="G34" i="31"/>
  <c r="H34" i="31" s="1"/>
  <c r="I34" i="31" s="1"/>
  <c r="D34" i="31"/>
  <c r="J33" i="31"/>
  <c r="K33" i="31" s="1"/>
  <c r="L33" i="31" s="1"/>
  <c r="G33" i="31"/>
  <c r="H33" i="31" s="1"/>
  <c r="I33" i="31" s="1"/>
  <c r="D33" i="31"/>
  <c r="J29" i="31"/>
  <c r="K29" i="31" s="1"/>
  <c r="L29" i="31" s="1"/>
  <c r="G29" i="31"/>
  <c r="H29" i="31" s="1"/>
  <c r="I29" i="31" s="1"/>
  <c r="D29" i="31"/>
  <c r="E29" i="31" s="1"/>
  <c r="F29" i="31" s="1"/>
  <c r="J28" i="31"/>
  <c r="K28" i="31" s="1"/>
  <c r="L28" i="31" s="1"/>
  <c r="G28" i="31"/>
  <c r="H28" i="31" s="1"/>
  <c r="I28" i="31" s="1"/>
  <c r="D28" i="31"/>
  <c r="E28" i="31" s="1"/>
  <c r="F28" i="31" s="1"/>
  <c r="J27" i="31"/>
  <c r="K27" i="31" s="1"/>
  <c r="L27" i="31" s="1"/>
  <c r="G27" i="31"/>
  <c r="H27" i="31" s="1"/>
  <c r="I27" i="31" s="1"/>
  <c r="D27" i="31"/>
  <c r="E27" i="31" s="1"/>
  <c r="F27" i="31" s="1"/>
  <c r="J26" i="31"/>
  <c r="K26" i="31" s="1"/>
  <c r="L26" i="31" s="1"/>
  <c r="G26" i="31"/>
  <c r="H26" i="31" s="1"/>
  <c r="I26" i="31" s="1"/>
  <c r="D26" i="31"/>
  <c r="J25" i="31"/>
  <c r="K25" i="31" s="1"/>
  <c r="L25" i="31" s="1"/>
  <c r="G25" i="31"/>
  <c r="H25" i="31" s="1"/>
  <c r="I25" i="31" s="1"/>
  <c r="D25" i="31"/>
  <c r="J21" i="31"/>
  <c r="K21" i="31" s="1"/>
  <c r="L21" i="31" s="1"/>
  <c r="G21" i="31"/>
  <c r="H21" i="31" s="1"/>
  <c r="I21" i="31" s="1"/>
  <c r="D21" i="31"/>
  <c r="E21" i="31" s="1"/>
  <c r="F21" i="31" s="1"/>
  <c r="J20" i="31"/>
  <c r="K20" i="31" s="1"/>
  <c r="L20" i="31" s="1"/>
  <c r="G20" i="31"/>
  <c r="H20" i="31" s="1"/>
  <c r="I20" i="31" s="1"/>
  <c r="D20" i="31"/>
  <c r="E20" i="31" s="1"/>
  <c r="F20" i="31" s="1"/>
  <c r="J19" i="31"/>
  <c r="K19" i="31" s="1"/>
  <c r="L19" i="31" s="1"/>
  <c r="G19" i="31"/>
  <c r="H19" i="31" s="1"/>
  <c r="I19" i="31" s="1"/>
  <c r="D19" i="31"/>
  <c r="E19" i="31" s="1"/>
  <c r="F19" i="31" s="1"/>
  <c r="J18" i="31"/>
  <c r="K18" i="31" s="1"/>
  <c r="L18" i="31" s="1"/>
  <c r="G18" i="31"/>
  <c r="H18" i="31" s="1"/>
  <c r="I18" i="31" s="1"/>
  <c r="D18" i="31"/>
  <c r="J17" i="31"/>
  <c r="K17" i="31" s="1"/>
  <c r="L17" i="31" s="1"/>
  <c r="G17" i="31"/>
  <c r="H17" i="31" s="1"/>
  <c r="I17" i="31" s="1"/>
  <c r="D17" i="31"/>
  <c r="J13" i="31"/>
  <c r="K13" i="31" s="1"/>
  <c r="L13" i="31" s="1"/>
  <c r="G13" i="31"/>
  <c r="H13" i="31" s="1"/>
  <c r="I13" i="31" s="1"/>
  <c r="D13" i="31"/>
  <c r="E13" i="31" s="1"/>
  <c r="F13" i="31" s="1"/>
  <c r="J12" i="31"/>
  <c r="K12" i="31" s="1"/>
  <c r="L12" i="31" s="1"/>
  <c r="G12" i="31"/>
  <c r="H12" i="31" s="1"/>
  <c r="I12" i="31" s="1"/>
  <c r="D12" i="31"/>
  <c r="E12" i="31" s="1"/>
  <c r="F12" i="31" s="1"/>
  <c r="J11" i="31"/>
  <c r="K11" i="31" s="1"/>
  <c r="L11" i="31" s="1"/>
  <c r="G11" i="31"/>
  <c r="H11" i="31" s="1"/>
  <c r="I11" i="31" s="1"/>
  <c r="D11" i="31"/>
  <c r="E11" i="31" s="1"/>
  <c r="F11" i="31" s="1"/>
  <c r="J10" i="31"/>
  <c r="K10" i="31" s="1"/>
  <c r="L10" i="31" s="1"/>
  <c r="G10" i="31"/>
  <c r="H10" i="31" s="1"/>
  <c r="I10" i="31" s="1"/>
  <c r="D10" i="31"/>
  <c r="J9" i="31"/>
  <c r="K9" i="31" s="1"/>
  <c r="L9" i="31" s="1"/>
  <c r="G9" i="31"/>
  <c r="H9" i="31" s="1"/>
  <c r="I9" i="31" s="1"/>
  <c r="D9" i="31"/>
  <c r="J34" i="26"/>
  <c r="J33" i="26"/>
  <c r="J32" i="26"/>
  <c r="J31" i="26"/>
  <c r="J30" i="26"/>
  <c r="I34" i="26"/>
  <c r="I33" i="26"/>
  <c r="I32" i="26"/>
  <c r="I31" i="26"/>
  <c r="I30" i="26"/>
  <c r="I29" i="26"/>
  <c r="H6" i="25"/>
  <c r="H5" i="25"/>
  <c r="H4" i="25"/>
  <c r="H3" i="25"/>
  <c r="J37" i="30"/>
  <c r="K37" i="30" s="1"/>
  <c r="L37" i="30" s="1"/>
  <c r="G37" i="30"/>
  <c r="H37" i="30" s="1"/>
  <c r="I37" i="30" s="1"/>
  <c r="D37" i="30"/>
  <c r="E37" i="30" s="1"/>
  <c r="F37" i="30" s="1"/>
  <c r="J36" i="30"/>
  <c r="K36" i="30" s="1"/>
  <c r="L36" i="30" s="1"/>
  <c r="G36" i="30"/>
  <c r="H36" i="30" s="1"/>
  <c r="I36" i="30" s="1"/>
  <c r="D36" i="30"/>
  <c r="E36" i="30" s="1"/>
  <c r="F36" i="30" s="1"/>
  <c r="J35" i="30"/>
  <c r="K35" i="30" s="1"/>
  <c r="L35" i="30" s="1"/>
  <c r="G35" i="30"/>
  <c r="H35" i="30" s="1"/>
  <c r="I35" i="30" s="1"/>
  <c r="D35" i="30"/>
  <c r="E35" i="30" s="1"/>
  <c r="F35" i="30" s="1"/>
  <c r="J34" i="30"/>
  <c r="K34" i="30" s="1"/>
  <c r="L34" i="30" s="1"/>
  <c r="G34" i="30"/>
  <c r="H34" i="30" s="1"/>
  <c r="I34" i="30" s="1"/>
  <c r="D34" i="30"/>
  <c r="J33" i="30"/>
  <c r="K33" i="30" s="1"/>
  <c r="L33" i="30" s="1"/>
  <c r="G33" i="30"/>
  <c r="H33" i="30" s="1"/>
  <c r="I33" i="30" s="1"/>
  <c r="D33" i="30"/>
  <c r="J29" i="30"/>
  <c r="K29" i="30" s="1"/>
  <c r="L29" i="30" s="1"/>
  <c r="G29" i="30"/>
  <c r="H29" i="30" s="1"/>
  <c r="I29" i="30" s="1"/>
  <c r="D29" i="30"/>
  <c r="E29" i="30" s="1"/>
  <c r="F29" i="30" s="1"/>
  <c r="J28" i="30"/>
  <c r="K28" i="30" s="1"/>
  <c r="L28" i="30" s="1"/>
  <c r="G28" i="30"/>
  <c r="H28" i="30" s="1"/>
  <c r="I28" i="30" s="1"/>
  <c r="D28" i="30"/>
  <c r="E28" i="30" s="1"/>
  <c r="F28" i="30" s="1"/>
  <c r="J27" i="30"/>
  <c r="K27" i="30" s="1"/>
  <c r="L27" i="30" s="1"/>
  <c r="G27" i="30"/>
  <c r="H27" i="30" s="1"/>
  <c r="I27" i="30" s="1"/>
  <c r="D27" i="30"/>
  <c r="E27" i="30" s="1"/>
  <c r="F27" i="30" s="1"/>
  <c r="J26" i="30"/>
  <c r="K26" i="30" s="1"/>
  <c r="L26" i="30" s="1"/>
  <c r="G26" i="30"/>
  <c r="H26" i="30" s="1"/>
  <c r="I26" i="30" s="1"/>
  <c r="D26" i="30"/>
  <c r="J25" i="30"/>
  <c r="K25" i="30" s="1"/>
  <c r="L25" i="30" s="1"/>
  <c r="G25" i="30"/>
  <c r="H25" i="30" s="1"/>
  <c r="I25" i="30" s="1"/>
  <c r="D25" i="30"/>
  <c r="J21" i="30"/>
  <c r="K21" i="30" s="1"/>
  <c r="L21" i="30" s="1"/>
  <c r="G21" i="30"/>
  <c r="H21" i="30" s="1"/>
  <c r="I21" i="30" s="1"/>
  <c r="D21" i="30"/>
  <c r="E21" i="30" s="1"/>
  <c r="F21" i="30" s="1"/>
  <c r="J20" i="30"/>
  <c r="K20" i="30" s="1"/>
  <c r="L20" i="30" s="1"/>
  <c r="G20" i="30"/>
  <c r="H20" i="30" s="1"/>
  <c r="I20" i="30" s="1"/>
  <c r="D20" i="30"/>
  <c r="E20" i="30" s="1"/>
  <c r="F20" i="30" s="1"/>
  <c r="J19" i="30"/>
  <c r="K19" i="30" s="1"/>
  <c r="L19" i="30" s="1"/>
  <c r="G19" i="30"/>
  <c r="H19" i="30" s="1"/>
  <c r="I19" i="30" s="1"/>
  <c r="D19" i="30"/>
  <c r="E19" i="30" s="1"/>
  <c r="F19" i="30" s="1"/>
  <c r="J18" i="30"/>
  <c r="K18" i="30" s="1"/>
  <c r="L18" i="30" s="1"/>
  <c r="G18" i="30"/>
  <c r="H18" i="30" s="1"/>
  <c r="I18" i="30" s="1"/>
  <c r="D18" i="30"/>
  <c r="J17" i="30"/>
  <c r="K17" i="30" s="1"/>
  <c r="L17" i="30" s="1"/>
  <c r="G17" i="30"/>
  <c r="H17" i="30" s="1"/>
  <c r="I17" i="30" s="1"/>
  <c r="D17" i="30"/>
  <c r="E17" i="30" s="1"/>
  <c r="F17" i="30" s="1"/>
  <c r="C17" i="30"/>
  <c r="J13" i="30"/>
  <c r="K13" i="30" s="1"/>
  <c r="L13" i="30" s="1"/>
  <c r="G13" i="30"/>
  <c r="H13" i="30" s="1"/>
  <c r="I13" i="30" s="1"/>
  <c r="D13" i="30"/>
  <c r="E13" i="30" s="1"/>
  <c r="F13" i="30" s="1"/>
  <c r="J12" i="30"/>
  <c r="K12" i="30" s="1"/>
  <c r="L12" i="30" s="1"/>
  <c r="G12" i="30"/>
  <c r="H12" i="30" s="1"/>
  <c r="I12" i="30" s="1"/>
  <c r="D12" i="30"/>
  <c r="E12" i="30" s="1"/>
  <c r="F12" i="30" s="1"/>
  <c r="J11" i="30"/>
  <c r="K11" i="30" s="1"/>
  <c r="L11" i="30" s="1"/>
  <c r="G11" i="30"/>
  <c r="H11" i="30" s="1"/>
  <c r="I11" i="30" s="1"/>
  <c r="D11" i="30"/>
  <c r="E11" i="30" s="1"/>
  <c r="F11" i="30" s="1"/>
  <c r="J10" i="30"/>
  <c r="K10" i="30" s="1"/>
  <c r="L10" i="30" s="1"/>
  <c r="G10" i="30"/>
  <c r="H10" i="30" s="1"/>
  <c r="I10" i="30" s="1"/>
  <c r="D10" i="30"/>
  <c r="E10" i="30" s="1"/>
  <c r="F10" i="30" s="1"/>
  <c r="J9" i="30"/>
  <c r="K9" i="30" s="1"/>
  <c r="L9" i="30" s="1"/>
  <c r="G9" i="30"/>
  <c r="H9" i="30" s="1"/>
  <c r="I9" i="30" s="1"/>
  <c r="D9" i="30"/>
  <c r="J26" i="26"/>
  <c r="I26" i="26"/>
  <c r="J28" i="26"/>
  <c r="J27" i="26"/>
  <c r="J25" i="26"/>
  <c r="J24" i="26"/>
  <c r="I28" i="26"/>
  <c r="I27" i="26"/>
  <c r="I25" i="26"/>
  <c r="I24" i="26"/>
  <c r="I23" i="26"/>
  <c r="G6" i="25"/>
  <c r="G5" i="25"/>
  <c r="G4" i="25"/>
  <c r="G3" i="25"/>
  <c r="F6" i="25"/>
  <c r="F5" i="25"/>
  <c r="F4" i="25"/>
  <c r="F3" i="25"/>
  <c r="J37" i="29"/>
  <c r="K37" i="29" s="1"/>
  <c r="L37" i="29" s="1"/>
  <c r="G37" i="29"/>
  <c r="H37" i="29" s="1"/>
  <c r="I37" i="29" s="1"/>
  <c r="D37" i="29"/>
  <c r="E37" i="29" s="1"/>
  <c r="F37" i="29" s="1"/>
  <c r="J36" i="29"/>
  <c r="K36" i="29" s="1"/>
  <c r="L36" i="29" s="1"/>
  <c r="G36" i="29"/>
  <c r="H36" i="29" s="1"/>
  <c r="I36" i="29" s="1"/>
  <c r="D36" i="29"/>
  <c r="E36" i="29" s="1"/>
  <c r="F36" i="29" s="1"/>
  <c r="J35" i="29"/>
  <c r="K35" i="29" s="1"/>
  <c r="L35" i="29" s="1"/>
  <c r="G35" i="29"/>
  <c r="H35" i="29" s="1"/>
  <c r="I35" i="29" s="1"/>
  <c r="D35" i="29"/>
  <c r="E35" i="29" s="1"/>
  <c r="F35" i="29" s="1"/>
  <c r="J34" i="29"/>
  <c r="K34" i="29" s="1"/>
  <c r="L34" i="29" s="1"/>
  <c r="G34" i="29"/>
  <c r="H34" i="29" s="1"/>
  <c r="I34" i="29" s="1"/>
  <c r="D34" i="29"/>
  <c r="J33" i="29"/>
  <c r="K33" i="29" s="1"/>
  <c r="L33" i="29" s="1"/>
  <c r="G33" i="29"/>
  <c r="H33" i="29" s="1"/>
  <c r="I33" i="29" s="1"/>
  <c r="D33" i="29"/>
  <c r="E33" i="29" s="1"/>
  <c r="F33" i="29" s="1"/>
  <c r="C33" i="29"/>
  <c r="J29" i="29"/>
  <c r="K29" i="29" s="1"/>
  <c r="L29" i="29" s="1"/>
  <c r="G29" i="29"/>
  <c r="H29" i="29" s="1"/>
  <c r="I29" i="29" s="1"/>
  <c r="D29" i="29"/>
  <c r="E29" i="29" s="1"/>
  <c r="F29" i="29" s="1"/>
  <c r="J28" i="29"/>
  <c r="K28" i="29" s="1"/>
  <c r="L28" i="29" s="1"/>
  <c r="G28" i="29"/>
  <c r="H28" i="29" s="1"/>
  <c r="I28" i="29" s="1"/>
  <c r="D28" i="29"/>
  <c r="E28" i="29" s="1"/>
  <c r="F28" i="29" s="1"/>
  <c r="J27" i="29"/>
  <c r="K27" i="29" s="1"/>
  <c r="L27" i="29" s="1"/>
  <c r="G27" i="29"/>
  <c r="H27" i="29" s="1"/>
  <c r="I27" i="29" s="1"/>
  <c r="D27" i="29"/>
  <c r="E27" i="29" s="1"/>
  <c r="F27" i="29" s="1"/>
  <c r="J26" i="29"/>
  <c r="K26" i="29" s="1"/>
  <c r="L26" i="29" s="1"/>
  <c r="G26" i="29"/>
  <c r="H26" i="29" s="1"/>
  <c r="I26" i="29" s="1"/>
  <c r="D26" i="29"/>
  <c r="J25" i="29"/>
  <c r="K25" i="29" s="1"/>
  <c r="L25" i="29" s="1"/>
  <c r="G25" i="29"/>
  <c r="H25" i="29" s="1"/>
  <c r="I25" i="29" s="1"/>
  <c r="E25" i="29"/>
  <c r="F25" i="29" s="1"/>
  <c r="D25" i="29"/>
  <c r="C25" i="29"/>
  <c r="J21" i="29"/>
  <c r="K21" i="29" s="1"/>
  <c r="L21" i="29" s="1"/>
  <c r="G21" i="29"/>
  <c r="H21" i="29" s="1"/>
  <c r="I21" i="29" s="1"/>
  <c r="D21" i="29"/>
  <c r="E21" i="29" s="1"/>
  <c r="F21" i="29" s="1"/>
  <c r="J20" i="29"/>
  <c r="K20" i="29" s="1"/>
  <c r="L20" i="29" s="1"/>
  <c r="G20" i="29"/>
  <c r="H20" i="29" s="1"/>
  <c r="I20" i="29" s="1"/>
  <c r="D20" i="29"/>
  <c r="E20" i="29" s="1"/>
  <c r="F20" i="29" s="1"/>
  <c r="J19" i="29"/>
  <c r="K19" i="29" s="1"/>
  <c r="L19" i="29" s="1"/>
  <c r="G19" i="29"/>
  <c r="H19" i="29" s="1"/>
  <c r="I19" i="29" s="1"/>
  <c r="D19" i="29"/>
  <c r="E19" i="29" s="1"/>
  <c r="F19" i="29" s="1"/>
  <c r="J18" i="29"/>
  <c r="K18" i="29" s="1"/>
  <c r="L18" i="29" s="1"/>
  <c r="G18" i="29"/>
  <c r="H18" i="29" s="1"/>
  <c r="I18" i="29" s="1"/>
  <c r="D18" i="29"/>
  <c r="J17" i="29"/>
  <c r="K17" i="29" s="1"/>
  <c r="L17" i="29" s="1"/>
  <c r="G17" i="29"/>
  <c r="H17" i="29" s="1"/>
  <c r="I17" i="29" s="1"/>
  <c r="D17" i="29"/>
  <c r="E17" i="29" s="1"/>
  <c r="F17" i="29" s="1"/>
  <c r="C17" i="29"/>
  <c r="J13" i="29"/>
  <c r="K13" i="29" s="1"/>
  <c r="L13" i="29" s="1"/>
  <c r="G13" i="29"/>
  <c r="H13" i="29" s="1"/>
  <c r="I13" i="29" s="1"/>
  <c r="D13" i="29"/>
  <c r="E13" i="29" s="1"/>
  <c r="F13" i="29" s="1"/>
  <c r="J12" i="29"/>
  <c r="K12" i="29" s="1"/>
  <c r="L12" i="29" s="1"/>
  <c r="G12" i="29"/>
  <c r="H12" i="29" s="1"/>
  <c r="I12" i="29" s="1"/>
  <c r="D12" i="29"/>
  <c r="E12" i="29" s="1"/>
  <c r="F12" i="29" s="1"/>
  <c r="J11" i="29"/>
  <c r="K11" i="29" s="1"/>
  <c r="L11" i="29" s="1"/>
  <c r="G11" i="29"/>
  <c r="H11" i="29" s="1"/>
  <c r="I11" i="29" s="1"/>
  <c r="D11" i="29"/>
  <c r="J10" i="29"/>
  <c r="K10" i="29" s="1"/>
  <c r="L10" i="29" s="1"/>
  <c r="G10" i="29"/>
  <c r="H10" i="29" s="1"/>
  <c r="I10" i="29" s="1"/>
  <c r="D10" i="29"/>
  <c r="J9" i="29"/>
  <c r="K9" i="29" s="1"/>
  <c r="L9" i="29" s="1"/>
  <c r="G9" i="29"/>
  <c r="H9" i="29" s="1"/>
  <c r="I9" i="29" s="1"/>
  <c r="D9" i="29"/>
  <c r="E9" i="29" s="1"/>
  <c r="F9" i="29" s="1"/>
  <c r="J22" i="26"/>
  <c r="J21" i="26"/>
  <c r="J20" i="26"/>
  <c r="J19" i="26"/>
  <c r="J18" i="26"/>
  <c r="I22" i="26"/>
  <c r="I21" i="26"/>
  <c r="I20" i="26"/>
  <c r="I19" i="26"/>
  <c r="I18" i="26"/>
  <c r="I17" i="26"/>
  <c r="J37" i="28"/>
  <c r="K37" i="28" s="1"/>
  <c r="L37" i="28" s="1"/>
  <c r="G37" i="28"/>
  <c r="H37" i="28" s="1"/>
  <c r="I37" i="28" s="1"/>
  <c r="D37" i="28"/>
  <c r="E37" i="28" s="1"/>
  <c r="F37" i="28" s="1"/>
  <c r="J36" i="28"/>
  <c r="K36" i="28" s="1"/>
  <c r="L36" i="28" s="1"/>
  <c r="G36" i="28"/>
  <c r="H36" i="28" s="1"/>
  <c r="I36" i="28" s="1"/>
  <c r="D36" i="28"/>
  <c r="E36" i="28" s="1"/>
  <c r="F36" i="28" s="1"/>
  <c r="J35" i="28"/>
  <c r="K35" i="28" s="1"/>
  <c r="L35" i="28" s="1"/>
  <c r="G35" i="28"/>
  <c r="H35" i="28" s="1"/>
  <c r="I35" i="28" s="1"/>
  <c r="D35" i="28"/>
  <c r="E35" i="28" s="1"/>
  <c r="F35" i="28" s="1"/>
  <c r="J34" i="28"/>
  <c r="K34" i="28" s="1"/>
  <c r="L34" i="28" s="1"/>
  <c r="G34" i="28"/>
  <c r="H34" i="28" s="1"/>
  <c r="I34" i="28" s="1"/>
  <c r="D34" i="28"/>
  <c r="J33" i="28"/>
  <c r="K33" i="28" s="1"/>
  <c r="L33" i="28" s="1"/>
  <c r="G33" i="28"/>
  <c r="H33" i="28" s="1"/>
  <c r="I33" i="28" s="1"/>
  <c r="D33" i="28"/>
  <c r="J29" i="28"/>
  <c r="K29" i="28" s="1"/>
  <c r="L29" i="28" s="1"/>
  <c r="G29" i="28"/>
  <c r="H29" i="28" s="1"/>
  <c r="I29" i="28" s="1"/>
  <c r="D29" i="28"/>
  <c r="E29" i="28" s="1"/>
  <c r="F29" i="28" s="1"/>
  <c r="J28" i="28"/>
  <c r="K28" i="28" s="1"/>
  <c r="L28" i="28" s="1"/>
  <c r="G28" i="28"/>
  <c r="H28" i="28" s="1"/>
  <c r="I28" i="28" s="1"/>
  <c r="D28" i="28"/>
  <c r="E28" i="28" s="1"/>
  <c r="F28" i="28" s="1"/>
  <c r="J27" i="28"/>
  <c r="K27" i="28" s="1"/>
  <c r="L27" i="28" s="1"/>
  <c r="G27" i="28"/>
  <c r="H27" i="28" s="1"/>
  <c r="I27" i="28" s="1"/>
  <c r="D27" i="28"/>
  <c r="E27" i="28" s="1"/>
  <c r="F27" i="28" s="1"/>
  <c r="J26" i="28"/>
  <c r="K26" i="28" s="1"/>
  <c r="L26" i="28" s="1"/>
  <c r="G26" i="28"/>
  <c r="H26" i="28" s="1"/>
  <c r="I26" i="28" s="1"/>
  <c r="D26" i="28"/>
  <c r="J25" i="28"/>
  <c r="K25" i="28" s="1"/>
  <c r="L25" i="28" s="1"/>
  <c r="G25" i="28"/>
  <c r="H25" i="28" s="1"/>
  <c r="I25" i="28" s="1"/>
  <c r="D25" i="28"/>
  <c r="J21" i="28"/>
  <c r="K21" i="28" s="1"/>
  <c r="L21" i="28" s="1"/>
  <c r="G21" i="28"/>
  <c r="H21" i="28" s="1"/>
  <c r="I21" i="28" s="1"/>
  <c r="D21" i="28"/>
  <c r="E21" i="28" s="1"/>
  <c r="F21" i="28" s="1"/>
  <c r="J20" i="28"/>
  <c r="K20" i="28" s="1"/>
  <c r="L20" i="28" s="1"/>
  <c r="G20" i="28"/>
  <c r="H20" i="28" s="1"/>
  <c r="I20" i="28" s="1"/>
  <c r="D20" i="28"/>
  <c r="E20" i="28" s="1"/>
  <c r="F20" i="28" s="1"/>
  <c r="J19" i="28"/>
  <c r="K19" i="28" s="1"/>
  <c r="L19" i="28" s="1"/>
  <c r="G19" i="28"/>
  <c r="H19" i="28" s="1"/>
  <c r="I19" i="28" s="1"/>
  <c r="D19" i="28"/>
  <c r="E19" i="28" s="1"/>
  <c r="F19" i="28" s="1"/>
  <c r="J18" i="28"/>
  <c r="K18" i="28" s="1"/>
  <c r="L18" i="28" s="1"/>
  <c r="G18" i="28"/>
  <c r="H18" i="28" s="1"/>
  <c r="I18" i="28" s="1"/>
  <c r="D18" i="28"/>
  <c r="J17" i="28"/>
  <c r="K17" i="28" s="1"/>
  <c r="L17" i="28" s="1"/>
  <c r="G17" i="28"/>
  <c r="H17" i="28" s="1"/>
  <c r="I17" i="28" s="1"/>
  <c r="D17" i="28"/>
  <c r="J13" i="28"/>
  <c r="K13" i="28" s="1"/>
  <c r="L13" i="28" s="1"/>
  <c r="G13" i="28"/>
  <c r="H13" i="28" s="1"/>
  <c r="I13" i="28" s="1"/>
  <c r="D13" i="28"/>
  <c r="J12" i="28"/>
  <c r="K12" i="28" s="1"/>
  <c r="L12" i="28" s="1"/>
  <c r="G12" i="28"/>
  <c r="H12" i="28" s="1"/>
  <c r="I12" i="28" s="1"/>
  <c r="D12" i="28"/>
  <c r="J11" i="28"/>
  <c r="K11" i="28" s="1"/>
  <c r="L11" i="28" s="1"/>
  <c r="G11" i="28"/>
  <c r="H11" i="28" s="1"/>
  <c r="I11" i="28" s="1"/>
  <c r="D11" i="28"/>
  <c r="J10" i="28"/>
  <c r="K10" i="28" s="1"/>
  <c r="L10" i="28" s="1"/>
  <c r="G10" i="28"/>
  <c r="H10" i="28" s="1"/>
  <c r="I10" i="28" s="1"/>
  <c r="D10" i="28"/>
  <c r="E10" i="28" s="1"/>
  <c r="F10" i="28" s="1"/>
  <c r="J9" i="28"/>
  <c r="K9" i="28" s="1"/>
  <c r="L9" i="28" s="1"/>
  <c r="G9" i="28"/>
  <c r="H9" i="28" s="1"/>
  <c r="I9" i="28" s="1"/>
  <c r="D9" i="28"/>
  <c r="I11" i="26"/>
  <c r="J37" i="23"/>
  <c r="K37" i="23" s="1"/>
  <c r="L37" i="23" s="1"/>
  <c r="G37" i="23"/>
  <c r="H37" i="23" s="1"/>
  <c r="I37" i="23" s="1"/>
  <c r="D37" i="23"/>
  <c r="E37" i="23" s="1"/>
  <c r="F37" i="23" s="1"/>
  <c r="J29" i="23"/>
  <c r="K29" i="23" s="1"/>
  <c r="L29" i="23" s="1"/>
  <c r="G29" i="23"/>
  <c r="H29" i="23" s="1"/>
  <c r="I29" i="23" s="1"/>
  <c r="D29" i="23"/>
  <c r="E29" i="23" s="1"/>
  <c r="F29" i="23" s="1"/>
  <c r="J21" i="23"/>
  <c r="K21" i="23" s="1"/>
  <c r="L21" i="23" s="1"/>
  <c r="G21" i="23"/>
  <c r="H21" i="23" s="1"/>
  <c r="I21" i="23" s="1"/>
  <c r="D21" i="23"/>
  <c r="E21" i="23" s="1"/>
  <c r="F21" i="23" s="1"/>
  <c r="C37" i="33" l="1"/>
  <c r="C36" i="33"/>
  <c r="C35" i="33"/>
  <c r="E34" i="33"/>
  <c r="F34" i="33" s="1"/>
  <c r="C33" i="33"/>
  <c r="E33" i="33"/>
  <c r="F33" i="33" s="1"/>
  <c r="E26" i="33"/>
  <c r="F26" i="33" s="1"/>
  <c r="C27" i="33"/>
  <c r="C29" i="33"/>
  <c r="C28" i="33"/>
  <c r="E25" i="33"/>
  <c r="F25" i="33" s="1"/>
  <c r="C25" i="33"/>
  <c r="E18" i="33"/>
  <c r="F18" i="33" s="1"/>
  <c r="C20" i="33"/>
  <c r="C19" i="33"/>
  <c r="C21" i="33"/>
  <c r="C11" i="33"/>
  <c r="E10" i="33"/>
  <c r="F10" i="33" s="1"/>
  <c r="C9" i="33"/>
  <c r="C13" i="33"/>
  <c r="C12" i="33"/>
  <c r="E17" i="32"/>
  <c r="F17" i="32" s="1"/>
  <c r="C17" i="32"/>
  <c r="C37" i="32"/>
  <c r="C36" i="32"/>
  <c r="C35" i="32"/>
  <c r="E34" i="32"/>
  <c r="F34" i="32" s="1"/>
  <c r="C33" i="32"/>
  <c r="E33" i="32"/>
  <c r="F33" i="32" s="1"/>
  <c r="C29" i="32"/>
  <c r="C28" i="32"/>
  <c r="C27" i="32"/>
  <c r="E26" i="32"/>
  <c r="F26" i="32" s="1"/>
  <c r="E25" i="32"/>
  <c r="F25" i="32" s="1"/>
  <c r="C25" i="32"/>
  <c r="C19" i="32"/>
  <c r="C21" i="32"/>
  <c r="C20" i="32"/>
  <c r="E18" i="32"/>
  <c r="F18" i="32" s="1"/>
  <c r="E10" i="32"/>
  <c r="F10" i="32" s="1"/>
  <c r="C13" i="32"/>
  <c r="C12" i="32"/>
  <c r="C11" i="32"/>
  <c r="E9" i="32"/>
  <c r="F9" i="32" s="1"/>
  <c r="C9" i="32"/>
  <c r="C36" i="31"/>
  <c r="C35" i="31"/>
  <c r="E34" i="31"/>
  <c r="F34" i="31" s="1"/>
  <c r="C37" i="31"/>
  <c r="C33" i="31"/>
  <c r="E33" i="31"/>
  <c r="F33" i="31" s="1"/>
  <c r="C28" i="31"/>
  <c r="E26" i="31"/>
  <c r="F26" i="31" s="1"/>
  <c r="C29" i="31"/>
  <c r="C27" i="31"/>
  <c r="E25" i="31"/>
  <c r="F25" i="31" s="1"/>
  <c r="C25" i="31"/>
  <c r="C19" i="31"/>
  <c r="E18" i="31"/>
  <c r="F18" i="31" s="1"/>
  <c r="C20" i="31"/>
  <c r="C21" i="31"/>
  <c r="E17" i="31"/>
  <c r="F17" i="31" s="1"/>
  <c r="C17" i="31"/>
  <c r="C12" i="31"/>
  <c r="C11" i="31"/>
  <c r="E10" i="31"/>
  <c r="F10" i="31" s="1"/>
  <c r="C13" i="31"/>
  <c r="E9" i="31"/>
  <c r="F9" i="31" s="1"/>
  <c r="C9" i="31"/>
  <c r="E34" i="30"/>
  <c r="F34" i="30" s="1"/>
  <c r="C35" i="30"/>
  <c r="C36" i="30"/>
  <c r="C37" i="30"/>
  <c r="C33" i="30"/>
  <c r="E33" i="30"/>
  <c r="F33" i="30" s="1"/>
  <c r="C29" i="30"/>
  <c r="C27" i="30"/>
  <c r="E26" i="30"/>
  <c r="F26" i="30" s="1"/>
  <c r="C28" i="30"/>
  <c r="E25" i="30"/>
  <c r="F25" i="30" s="1"/>
  <c r="C25" i="30"/>
  <c r="C21" i="30"/>
  <c r="C19" i="30"/>
  <c r="E18" i="30"/>
  <c r="F18" i="30" s="1"/>
  <c r="C20" i="30"/>
  <c r="C11" i="30"/>
  <c r="C13" i="30"/>
  <c r="C12" i="30"/>
  <c r="C9" i="30"/>
  <c r="E9" i="30"/>
  <c r="F9" i="30" s="1"/>
  <c r="E34" i="29"/>
  <c r="F34" i="29" s="1"/>
  <c r="C37" i="29"/>
  <c r="C36" i="29"/>
  <c r="C35" i="29"/>
  <c r="C9" i="29"/>
  <c r="C12" i="29"/>
  <c r="C29" i="29"/>
  <c r="C28" i="29"/>
  <c r="E26" i="29"/>
  <c r="F26" i="29" s="1"/>
  <c r="C27" i="29"/>
  <c r="C21" i="29"/>
  <c r="C20" i="29"/>
  <c r="C19" i="29"/>
  <c r="E18" i="29"/>
  <c r="F18" i="29" s="1"/>
  <c r="C11" i="29"/>
  <c r="E11" i="29"/>
  <c r="F11" i="29" s="1"/>
  <c r="E10" i="29"/>
  <c r="F10" i="29" s="1"/>
  <c r="C13" i="29"/>
  <c r="E9" i="28"/>
  <c r="F9" i="28" s="1"/>
  <c r="C9" i="28"/>
  <c r="E34" i="28"/>
  <c r="F34" i="28" s="1"/>
  <c r="C36" i="28"/>
  <c r="C35" i="28"/>
  <c r="C37" i="28"/>
  <c r="C33" i="28"/>
  <c r="E33" i="28"/>
  <c r="F33" i="28" s="1"/>
  <c r="C29" i="28"/>
  <c r="E26" i="28"/>
  <c r="F26" i="28" s="1"/>
  <c r="C28" i="28"/>
  <c r="C27" i="28"/>
  <c r="E25" i="28"/>
  <c r="F25" i="28" s="1"/>
  <c r="C25" i="28"/>
  <c r="C21" i="28"/>
  <c r="C20" i="28"/>
  <c r="C19" i="28"/>
  <c r="E18" i="28"/>
  <c r="F18" i="28" s="1"/>
  <c r="E17" i="28"/>
  <c r="F17" i="28" s="1"/>
  <c r="C17" i="28"/>
  <c r="C13" i="28"/>
  <c r="E13" i="28"/>
  <c r="F13" i="28" s="1"/>
  <c r="E12" i="28"/>
  <c r="F12" i="28" s="1"/>
  <c r="C12" i="28"/>
  <c r="C11" i="28"/>
  <c r="E11" i="28"/>
  <c r="F11" i="28" s="1"/>
  <c r="J13" i="23"/>
  <c r="K13" i="23" s="1"/>
  <c r="L13" i="23" s="1"/>
  <c r="G13" i="23"/>
  <c r="H13" i="23" s="1"/>
  <c r="I13" i="23" s="1"/>
  <c r="D13" i="23"/>
  <c r="I14" i="26" s="1"/>
  <c r="E13" i="23" l="1"/>
  <c r="J14" i="26" s="1"/>
  <c r="F13" i="23" l="1"/>
  <c r="J36" i="23" l="1"/>
  <c r="K36" i="23" s="1"/>
  <c r="L36" i="23" s="1"/>
  <c r="G36" i="23"/>
  <c r="H36" i="23" s="1"/>
  <c r="I36" i="23" s="1"/>
  <c r="D36" i="23"/>
  <c r="E36" i="23" s="1"/>
  <c r="F36" i="23" s="1"/>
  <c r="J35" i="23"/>
  <c r="K35" i="23" s="1"/>
  <c r="L35" i="23" s="1"/>
  <c r="G35" i="23"/>
  <c r="H35" i="23" s="1"/>
  <c r="I35" i="23" s="1"/>
  <c r="D35" i="23"/>
  <c r="E35" i="23" s="1"/>
  <c r="F35" i="23" s="1"/>
  <c r="J34" i="23"/>
  <c r="K34" i="23" s="1"/>
  <c r="L34" i="23" s="1"/>
  <c r="G34" i="23"/>
  <c r="H34" i="23" s="1"/>
  <c r="I34" i="23" s="1"/>
  <c r="D34" i="23"/>
  <c r="J33" i="23"/>
  <c r="K33" i="23" s="1"/>
  <c r="L33" i="23" s="1"/>
  <c r="G33" i="23"/>
  <c r="H33" i="23" s="1"/>
  <c r="I33" i="23" s="1"/>
  <c r="D33" i="23"/>
  <c r="E33" i="23" s="1"/>
  <c r="F33" i="23" s="1"/>
  <c r="J28" i="23"/>
  <c r="K28" i="23" s="1"/>
  <c r="L28" i="23" s="1"/>
  <c r="G28" i="23"/>
  <c r="H28" i="23" s="1"/>
  <c r="I28" i="23" s="1"/>
  <c r="D28" i="23"/>
  <c r="E28" i="23" s="1"/>
  <c r="F28" i="23" s="1"/>
  <c r="J27" i="23"/>
  <c r="K27" i="23" s="1"/>
  <c r="L27" i="23" s="1"/>
  <c r="G27" i="23"/>
  <c r="H27" i="23" s="1"/>
  <c r="I27" i="23" s="1"/>
  <c r="D27" i="23"/>
  <c r="E27" i="23" s="1"/>
  <c r="F27" i="23" s="1"/>
  <c r="J26" i="23"/>
  <c r="K26" i="23" s="1"/>
  <c r="L26" i="23" s="1"/>
  <c r="G26" i="23"/>
  <c r="H26" i="23" s="1"/>
  <c r="I26" i="23" s="1"/>
  <c r="D26" i="23"/>
  <c r="J25" i="23"/>
  <c r="K25" i="23" s="1"/>
  <c r="L25" i="23" s="1"/>
  <c r="G25" i="23"/>
  <c r="H25" i="23" s="1"/>
  <c r="I25" i="23" s="1"/>
  <c r="D25" i="23"/>
  <c r="E25" i="23" s="1"/>
  <c r="F25" i="23" s="1"/>
  <c r="J20" i="23"/>
  <c r="K20" i="23" s="1"/>
  <c r="L20" i="23" s="1"/>
  <c r="G20" i="23"/>
  <c r="H20" i="23" s="1"/>
  <c r="I20" i="23" s="1"/>
  <c r="D20" i="23"/>
  <c r="E20" i="23" s="1"/>
  <c r="F20" i="23" s="1"/>
  <c r="J19" i="23"/>
  <c r="K19" i="23" s="1"/>
  <c r="L19" i="23" s="1"/>
  <c r="G19" i="23"/>
  <c r="H19" i="23" s="1"/>
  <c r="I19" i="23" s="1"/>
  <c r="D19" i="23"/>
  <c r="E19" i="23" s="1"/>
  <c r="F19" i="23" s="1"/>
  <c r="J18" i="23"/>
  <c r="K18" i="23" s="1"/>
  <c r="L18" i="23" s="1"/>
  <c r="G18" i="23"/>
  <c r="H18" i="23" s="1"/>
  <c r="I18" i="23" s="1"/>
  <c r="D18" i="23"/>
  <c r="J17" i="23"/>
  <c r="K17" i="23" s="1"/>
  <c r="L17" i="23" s="1"/>
  <c r="G17" i="23"/>
  <c r="H17" i="23" s="1"/>
  <c r="I17" i="23" s="1"/>
  <c r="D17" i="23"/>
  <c r="E6" i="25" l="1"/>
  <c r="C37" i="23"/>
  <c r="E5" i="25"/>
  <c r="C29" i="23"/>
  <c r="E4" i="25"/>
  <c r="C21" i="23"/>
  <c r="C25" i="23"/>
  <c r="C33" i="23"/>
  <c r="C36" i="23"/>
  <c r="C35" i="23"/>
  <c r="E34" i="23"/>
  <c r="F34" i="23" s="1"/>
  <c r="C28" i="23"/>
  <c r="C27" i="23"/>
  <c r="E26" i="23"/>
  <c r="F26" i="23" s="1"/>
  <c r="C20" i="23"/>
  <c r="C19" i="23"/>
  <c r="E18" i="23"/>
  <c r="F18" i="23" s="1"/>
  <c r="C17" i="23"/>
  <c r="E17" i="23"/>
  <c r="F17" i="23" s="1"/>
  <c r="L22" i="26" l="1"/>
  <c r="L18" i="26"/>
  <c r="L17" i="26"/>
  <c r="L20" i="26"/>
  <c r="L19" i="26"/>
  <c r="L21" i="26"/>
  <c r="L48" i="26" l="1"/>
  <c r="L49" i="26"/>
  <c r="L50" i="26"/>
  <c r="L51" i="26"/>
  <c r="L52" i="26"/>
  <c r="L47" i="26"/>
  <c r="L43" i="26"/>
  <c r="L44" i="26"/>
  <c r="L46" i="26"/>
  <c r="L41" i="26"/>
  <c r="L29" i="26"/>
  <c r="L30" i="26"/>
  <c r="L32" i="26"/>
  <c r="L31" i="26"/>
  <c r="F10" i="25"/>
  <c r="F13" i="25"/>
  <c r="F9" i="25"/>
  <c r="F14" i="25"/>
  <c r="F8" i="25"/>
  <c r="F12" i="25"/>
  <c r="L33" i="26"/>
  <c r="L34" i="26"/>
  <c r="L45" i="26"/>
  <c r="L42" i="26"/>
  <c r="J12" i="23"/>
  <c r="K12" i="23" s="1"/>
  <c r="L12" i="23" s="1"/>
  <c r="G12" i="23"/>
  <c r="H12" i="23" s="1"/>
  <c r="I12" i="23" s="1"/>
  <c r="D12" i="23"/>
  <c r="I16" i="26" s="1"/>
  <c r="J11" i="23"/>
  <c r="K11" i="23" s="1"/>
  <c r="L11" i="23" s="1"/>
  <c r="G11" i="23"/>
  <c r="H11" i="23" s="1"/>
  <c r="I11" i="23" s="1"/>
  <c r="D11" i="23"/>
  <c r="I15" i="26" s="1"/>
  <c r="J10" i="23"/>
  <c r="K10" i="23" s="1"/>
  <c r="L10" i="23" s="1"/>
  <c r="D10" i="23"/>
  <c r="I13" i="26" s="1"/>
  <c r="J9" i="23"/>
  <c r="K9" i="23" s="1"/>
  <c r="L9" i="23" s="1"/>
  <c r="G9" i="23"/>
  <c r="H9" i="23" s="1"/>
  <c r="I9" i="23" s="1"/>
  <c r="D9" i="23"/>
  <c r="I12" i="26" s="1"/>
  <c r="L16" i="26" l="1"/>
  <c r="L12" i="26"/>
  <c r="L14" i="26"/>
  <c r="L13" i="26"/>
  <c r="L15" i="26"/>
  <c r="L11" i="26"/>
  <c r="H12" i="25"/>
  <c r="H8" i="25"/>
  <c r="H13" i="25"/>
  <c r="H9" i="25"/>
  <c r="H10" i="25"/>
  <c r="H14" i="25"/>
  <c r="J8" i="25"/>
  <c r="J9" i="25"/>
  <c r="J12" i="25"/>
  <c r="J13" i="25"/>
  <c r="J14" i="25"/>
  <c r="J10" i="25"/>
  <c r="K13" i="25"/>
  <c r="K9" i="25"/>
  <c r="K8" i="25"/>
  <c r="K12" i="25"/>
  <c r="K10" i="25"/>
  <c r="K14" i="25"/>
  <c r="E12" i="23"/>
  <c r="J16" i="26" s="1"/>
  <c r="E11" i="23"/>
  <c r="J15" i="26" s="1"/>
  <c r="E3" i="25"/>
  <c r="C13" i="23"/>
  <c r="E9" i="23"/>
  <c r="J12" i="26" s="1"/>
  <c r="G10" i="23"/>
  <c r="H10" i="23" s="1"/>
  <c r="I10" i="23" s="1"/>
  <c r="C11" i="23"/>
  <c r="C9" i="23"/>
  <c r="E10" i="23"/>
  <c r="J13" i="26" s="1"/>
  <c r="C12" i="23"/>
  <c r="L25" i="26" l="1"/>
  <c r="L26" i="26"/>
  <c r="L28" i="26"/>
  <c r="L23" i="26"/>
  <c r="F12" i="23"/>
  <c r="F11" i="23"/>
  <c r="E9" i="25"/>
  <c r="E13" i="25"/>
  <c r="E14" i="25"/>
  <c r="E12" i="25"/>
  <c r="E10" i="25"/>
  <c r="E8" i="25"/>
  <c r="F9" i="23"/>
  <c r="F10" i="23"/>
  <c r="L27" i="26"/>
  <c r="L24" i="26"/>
  <c r="L36" i="26" l="1"/>
  <c r="L3" i="26" s="1"/>
  <c r="L37" i="26"/>
  <c r="L38" i="26"/>
  <c r="L4" i="26" s="1"/>
  <c r="L39" i="26"/>
  <c r="L5" i="26" s="1"/>
  <c r="L40" i="26"/>
  <c r="L6" i="26" s="1"/>
  <c r="L35" i="26"/>
  <c r="L2" i="26" s="1"/>
  <c r="G12" i="25"/>
  <c r="G8" i="25"/>
  <c r="G13" i="25"/>
  <c r="G9" i="25"/>
  <c r="G10" i="25"/>
  <c r="G14" i="25"/>
  <c r="I12" i="25" l="1"/>
  <c r="I9" i="25"/>
  <c r="I13" i="25"/>
  <c r="I8" i="25"/>
  <c r="I10" i="25"/>
  <c r="I14" i="25"/>
</calcChain>
</file>

<file path=xl/sharedStrings.xml><?xml version="1.0" encoding="utf-8"?>
<sst xmlns="http://schemas.openxmlformats.org/spreadsheetml/2006/main" count="1819" uniqueCount="78">
  <si>
    <t>—</t>
  </si>
  <si>
    <t>CatBoost</t>
  </si>
  <si>
    <t>Recall</t>
  </si>
  <si>
    <t>AUPRC</t>
  </si>
  <si>
    <t>Overview</t>
  </si>
  <si>
    <t>FT-transformer</t>
  </si>
  <si>
    <t xml:space="preserve">LR </t>
  </si>
  <si>
    <t>F1</t>
  </si>
  <si>
    <t>Random</t>
  </si>
  <si>
    <t>Seed</t>
  </si>
  <si>
    <t>CV</t>
  </si>
  <si>
    <t>SCARF</t>
  </si>
  <si>
    <t xml:space="preserve">Bank Account Fraud (BAF) </t>
  </si>
  <si>
    <t xml:space="preserve"> 89.7 : 1</t>
  </si>
  <si>
    <t>AUPRC (10 seed)</t>
  </si>
  <si>
    <t>mean</t>
  </si>
  <si>
    <t xml:space="preserve"> 1.0 : 1</t>
  </si>
  <si>
    <t>CLT-TAB</t>
  </si>
  <si>
    <t>Epsilon-30</t>
  </si>
  <si>
    <t xml:space="preserve">Bank Account Fraud 
(BAF) </t>
  </si>
  <si>
    <t>Adult Census Income</t>
  </si>
  <si>
    <t xml:space="preserve"> 3.2 : 1</t>
  </si>
  <si>
    <t>Road-safety</t>
  </si>
  <si>
    <t xml:space="preserve"> 1.1:1</t>
  </si>
  <si>
    <t>UCI Credit Card</t>
  </si>
  <si>
    <t xml:space="preserve"> 3.5 : 1</t>
  </si>
  <si>
    <t>Credit Card Fraud Detection</t>
  </si>
  <si>
    <t xml:space="preserve"> 577,8 : 1</t>
  </si>
  <si>
    <t>NIDS Network Benchmark</t>
  </si>
  <si>
    <t>CATA</t>
  </si>
  <si>
    <t>SQP</t>
  </si>
  <si>
    <t>,</t>
  </si>
  <si>
    <t xml:space="preserve">Ablations </t>
  </si>
  <si>
    <t>yes</t>
  </si>
  <si>
    <t>no</t>
  </si>
  <si>
    <t>Nominal difference in AUPRC values</t>
  </si>
  <si>
    <t>Relative difference in AUPRC values (differences greater than 1% are marked)</t>
  </si>
  <si>
    <t>Augmentation with importance weighting and stochastic pooling</t>
  </si>
  <si>
    <r>
      <rPr>
        <sz val="11"/>
        <color rgb="FFFF0000"/>
        <rFont val="Calibri"/>
        <family val="2"/>
        <charset val="204"/>
        <scheme val="minor"/>
      </rPr>
      <t xml:space="preserve">Augmentation without importance weighting </t>
    </r>
    <r>
      <rPr>
        <sz val="11"/>
        <rFont val="Calibri"/>
        <family val="2"/>
        <charset val="204"/>
        <scheme val="minor"/>
      </rPr>
      <t>and stochastic pooling</t>
    </r>
  </si>
  <si>
    <r>
      <t xml:space="preserve">Augmentation with importance weighting and </t>
    </r>
    <r>
      <rPr>
        <sz val="11"/>
        <color rgb="FFFF0000"/>
        <rFont val="Calibri"/>
        <family val="2"/>
        <charset val="204"/>
        <scheme val="minor"/>
      </rPr>
      <t>deterministic pooling</t>
    </r>
  </si>
  <si>
    <t>Augmentation without importance weighting and deterministic pooling</t>
  </si>
  <si>
    <t>Random AUPRC</t>
  </si>
  <si>
    <t>For reference</t>
  </si>
  <si>
    <t>effect, %</t>
  </si>
  <si>
    <r>
      <t xml:space="preserve">CLT-TAB
</t>
    </r>
    <r>
      <rPr>
        <b/>
        <sz val="11"/>
        <color rgb="FFFF0000"/>
        <rFont val="Segoe UI"/>
        <family val="2"/>
        <charset val="204"/>
      </rPr>
      <t>without CATA</t>
    </r>
  </si>
  <si>
    <r>
      <t xml:space="preserve">CLT-TAB
</t>
    </r>
    <r>
      <rPr>
        <b/>
        <sz val="11"/>
        <color rgb="FFFF0000"/>
        <rFont val="Segoe UI"/>
        <family val="2"/>
        <charset val="204"/>
      </rPr>
      <t>without  SQP</t>
    </r>
  </si>
  <si>
    <r>
      <t xml:space="preserve">CLT-TAB
</t>
    </r>
    <r>
      <rPr>
        <b/>
        <sz val="11"/>
        <color rgb="FFFF0000"/>
        <rFont val="Segoe UI"/>
        <family val="2"/>
        <charset val="204"/>
      </rPr>
      <t>without CATA and SQP</t>
    </r>
  </si>
  <si>
    <t>σ</t>
  </si>
  <si>
    <r>
      <rPr>
        <b/>
        <sz val="11"/>
        <color theme="1"/>
        <rFont val="Calibri"/>
        <family val="2"/>
        <charset val="204"/>
        <scheme val="minor"/>
      </rPr>
      <t>Green</t>
    </r>
    <r>
      <rPr>
        <sz val="11"/>
        <color theme="1"/>
        <rFont val="Calibri"/>
        <family val="2"/>
        <charset val="204"/>
        <scheme val="minor"/>
      </rPr>
      <t xml:space="preserve"> = performance worsened without tuning the component.
</t>
    </r>
    <r>
      <rPr>
        <b/>
        <sz val="11"/>
        <color theme="1"/>
        <rFont val="Calibri"/>
        <family val="2"/>
        <charset val="204"/>
        <scheme val="minor"/>
      </rPr>
      <t>Red</t>
    </r>
    <r>
      <rPr>
        <sz val="11"/>
        <color theme="1"/>
        <rFont val="Calibri"/>
        <family val="2"/>
        <charset val="204"/>
        <scheme val="minor"/>
      </rPr>
      <t xml:space="preserve"> = performance improved without tuning the component.
Findings:
- CATA is beneficial (no improvement without it).
- Without SQP, 2/7 datasets improved → default settings are not universally optimal.
Without both, 1/7 datasets improved (the same one where stochastic pooling was suboptimal).
</t>
    </r>
    <r>
      <rPr>
        <b/>
        <sz val="11"/>
        <color theme="1"/>
        <rFont val="Calibri"/>
        <family val="2"/>
        <charset val="204"/>
        <scheme val="minor"/>
      </rPr>
      <t>Conclusion: CATA yields stable results, while SQP may deteriorate performance and requires tuning for the dataset.</t>
    </r>
  </si>
  <si>
    <t>We used the Bank Account Fraud (BAF) dataset, which contains 1 000 000 instances with a 1.1% anomaly rate. It comprises 18 numerical and 11 categorical features. The 'month' feature was removed prior to experimentation. The data were used after preprocessing (missing values, duplicates, and constant features were removed). F1 and Recall scores were obtained with a threshold of 0.5. We used 9 066 instances for finetuning, of which 100 were anomalies, and the same number (9 066 instances, 100 anomalies) for testing.</t>
  </si>
  <si>
    <t>We used the Credit Card Fraud Detection dataset, which contains 283 726 instances with a 0,17 % anomaly rate. It comprises 30 numerical and 0 categorical features. The data were used after preprocessing (missing values, duplicates, and constant features were removed). F1 and Recall scores were obtained with a threshold of 0.5. We used 59 984 instances for finetuning, of which 100 were anomalies, and the same number (59 984  instances, 100 anomalies) for testing.</t>
  </si>
  <si>
    <r>
      <t xml:space="preserve">The </t>
    </r>
    <r>
      <rPr>
        <b/>
        <sz val="12"/>
        <rFont val="Segoe UI"/>
        <family val="2"/>
        <charset val="204"/>
      </rPr>
      <t>Credit Card Fraud Detection</t>
    </r>
    <r>
      <rPr>
        <sz val="12"/>
        <rFont val="Segoe UI"/>
        <family val="2"/>
        <charset val="204"/>
      </rPr>
      <t xml:space="preserve"> dataset is a widely used benchmark for anomaly detection in financial transactions, made publicly available through a Kaggle competition. It consists of credit card transactions made by European cardholders in September 2013 over a two‑day period. The dataset contains 284,807 transactions, of which 492 are fraudulent, giving a fraud rate of approximately 0.172 %. To protect cardholders’ privacy, the 28 numerical features V1 … V28 are the result of a Principal Component Analysis (PCA) transformation. Two features were left untransformed: the transaction Amount and the Time elapsed since the first recorded transaction. The target variable is Class (also named Label in some versions), where 1 indicates fraud and 0 a legitimate transaction.
Due to the strong class imbalance, the dataset is particularly challenging for standard classifiers; models often require resampling techniques (e.g., SMOTE) or cost‑sensitive learning to achieve good performance. Despite its imbalance, the dataset has become a reference benchmark for evaluating fraud detection algorithms, ranging from logistic regression and tree‑based ensembles to deep learning architectures.</t>
    </r>
  </si>
  <si>
    <r>
      <t xml:space="preserve">The </t>
    </r>
    <r>
      <rPr>
        <b/>
        <sz val="12"/>
        <rFont val="Segoe UI"/>
        <family val="2"/>
        <charset val="204"/>
      </rPr>
      <t>Bank Account Fraud</t>
    </r>
    <r>
      <rPr>
        <sz val="12"/>
        <rFont val="Segoe UI"/>
        <family val="2"/>
        <charset val="204"/>
      </rPr>
      <t xml:space="preserve"> (BAF) dataset is a synthetic yet realistic tabular dataset introduced at NeurIPS 2022 for evaluating machine learning methods in fraud detection scenarios . It was generated by applying state-of-the-art tabular data generation techniques (CTGAN) to an anonymized, real-world bank account opening fraud detection dataset.</t>
    </r>
  </si>
  <si>
    <t>Datasets</t>
  </si>
  <si>
    <t>Unlabeled Pretrain size</t>
  </si>
  <si>
    <t>model</t>
  </si>
  <si>
    <t>size</t>
  </si>
  <si>
    <t>class balance</t>
  </si>
  <si>
    <t>type</t>
  </si>
  <si>
    <t>name</t>
  </si>
  <si>
    <t xml:space="preserve">Mixed </t>
  </si>
  <si>
    <t>numerical</t>
  </si>
  <si>
    <r>
      <t xml:space="preserve">Epsilon-30
</t>
    </r>
    <r>
      <rPr>
        <sz val="11"/>
        <rFont val="Segoe UI"/>
        <family val="2"/>
        <charset val="204"/>
      </rPr>
      <t>(we used the first 30 features)</t>
    </r>
  </si>
  <si>
    <t>50 000 (случайная выборка из train)</t>
  </si>
  <si>
    <t>Finetune with labels (includes 100 anomalies)</t>
  </si>
  <si>
    <t>the test set has the same size as the finetune set</t>
  </si>
  <si>
    <r>
      <t xml:space="preserve">The </t>
    </r>
    <r>
      <rPr>
        <b/>
        <sz val="12"/>
        <rFont val="Segoe UI"/>
        <family val="2"/>
        <charset val="204"/>
      </rPr>
      <t>Road Safety</t>
    </r>
    <r>
      <rPr>
        <sz val="12"/>
        <rFont val="Segoe UI"/>
        <family val="2"/>
        <charset val="204"/>
      </rPr>
      <t xml:space="preserve"> dataset is a widely used benchmark for classification and traffic accident analysis, compiled from official police reports on personal injury road accidents in Great Britain. The dataset is part of a collection managed by the UK Department for Transport, with records spanning from 1979 up to 2015. It contains detailed information about the circumstances of each accident, including:
- Accident characteristics: date, time, location, weather conditions, road surface, and light conditions.
- Vehicle information: type of vehicle, manoeuvre, and whether the vehicle was left-hand drive.
- Casualty and driver details: age and sex of driver and casualty, and the severity of the injury.
Because the dataset is entirely based on real-world reported incidents, it includes a mix of numerical and high-cardinality categorical features. It is often used to benchmark models that handle both types of data, such as tree-based ensembles, logistic regression, and various deep learning architectures.</t>
    </r>
  </si>
  <si>
    <r>
      <t xml:space="preserve">The </t>
    </r>
    <r>
      <rPr>
        <b/>
        <sz val="12"/>
        <rFont val="Segoe UI"/>
        <family val="2"/>
        <charset val="204"/>
      </rPr>
      <t>NIDS</t>
    </r>
    <r>
      <rPr>
        <sz val="12"/>
        <rFont val="Segoe UI"/>
        <family val="2"/>
        <charset val="204"/>
      </rPr>
      <t>_Network_Benchmark_APT dataset is a recent (2025) flow‑level benchmark for intrusion detection, specifically designed to overcome the limitations of older network datasets such as CICIDS‑2017, CICIDS‑2019, CIC‑IDS‑2018, and UNSW‑NB15. Its main goal is to provide a clean, reproducible, and up‑to‑date dataset for training and evaluating AI‑based Network Intrusion Detection Systems (NIDS). The dataset comprises 49,000 labelled network flows spanning 13 traffic classes, where the majority are various types of attacks and one is normal traffic (BENIGN). A key novelty is the inclusion of two attack classes absent from previous datasets: Encrypted HTTPS‑based Command &amp; Control (C2) beaconing, which mimics real‑world Advanced Persistent Threat (APT) lateral movement. IoT MQTT broker flood attacks on port 1883. All features are flow‑based, computed from PCAP traffic. The dataset provides 90 features in total: 84 CICFlowMeter‑compatible features that allow direct comparison with older datasets, plus 6 novel derived features (Byte_Entropy, IAT_Coefficient_Variation, TLS_Encrypted_Flag, Payload_Ratio_Fwd, Burstiness_Index, Pkt_Size_Skewness). The dataset is deliberately designed to be free of NaN and Infinity values – a known issue in CICIDS‑2017 – and comes with full Python generation scripts to ensure reproducibility. The primary file is NIDS_Network_Benchmark_APT_2025.csv (≈26 MB) and is distributed under a CC BY 4.0 open‑access license. The recommended stratified split is 70 % training / 15 % validation / 15 % test. A simple Random Forest baseline on this dataset achieves a 97.9 % macro F1‑score, confirming that the dataset is learnable and suitable for benchmarking [3†L35-L36]. Because of its balanced attack representation and absence of data‑quality issues, NIDS_Network_Benchmark_APT is well‑suited for evaluating machine‑learning‑based intrusion detection systems, especially those focusing on modern encrypted and IoT‑targeted threats.</t>
    </r>
  </si>
  <si>
    <r>
      <t xml:space="preserve">The </t>
    </r>
    <r>
      <rPr>
        <b/>
        <sz val="12"/>
        <rFont val="Segoe UI"/>
        <family val="2"/>
        <charset val="204"/>
      </rPr>
      <t>Epsilon</t>
    </r>
    <r>
      <rPr>
        <sz val="12"/>
        <rFont val="Segoe UI"/>
        <family val="2"/>
        <charset val="204"/>
      </rPr>
      <t xml:space="preserve"> dataset is a synthetic binary classification benchmark originally introduced for the PASCAL Large Scale Learning Challenge (2008). It was designed to evaluate the performance of machine learning algorithms on high‑dimensional, noisy, and highly nonlinear data, simulating a complex classification task where the decision boundary is intricate and difficult to learn. The dataset was generated using a random non‑linear transformation of a 2,000‑dimensional input space, with a binary target that is derived from a hidden function, making it a challenging testbed for both linear and non‑linear models. It has since become a standard benchmark for assessing scalability and robustness of modern machine learning methods, including kernel methods, gradient‑boosted trees, and deep learning architectures, particularly in large‑scale and high‑dimensional settings.</t>
    </r>
  </si>
  <si>
    <t>We used the Epsilon dataset (the first 30 features were selected), which contains 50 000 instances (random sample from the train set) with a 49,9 % anomaly rate. It comprises 30 numerical and 0 categorical features. The data were used after preprocessing (missing values, duplicates, and constant features were removed). F1 and Recall scores were obtained with a threshold of 0.5. We used 200 instances for finetuning, of which 100 were anomalies, and the same number (200  instances, 100 anomalies) for testing.</t>
  </si>
  <si>
    <t>difference, %</t>
  </si>
  <si>
    <t>Mean AUPRC difference (%) between CLT‑TAB and 
competing models over 7 datasets</t>
  </si>
  <si>
    <r>
      <t xml:space="preserve">The </t>
    </r>
    <r>
      <rPr>
        <b/>
        <sz val="12"/>
        <rFont val="Segoe UI"/>
        <family val="2"/>
        <charset val="204"/>
      </rPr>
      <t>Adult</t>
    </r>
    <r>
      <rPr>
        <sz val="12"/>
        <rFont val="Segoe UI"/>
        <family val="2"/>
        <charset val="204"/>
      </rPr>
      <t xml:space="preserve"> Census Income dataset (also known as the Adult dataset or Census Income dataset) is a classic benchmark for binary classification tasks in social sciences and machine learning. It was designed to predict whether an individual’s annual income exceeds $50,000 based on demographic and employment‑related features extracted from the 1994 United States Census Bureau database. The dataset was created by Barry Becker and Ronny Kohavi (Data Mining and Visualization, Silicon Graphics) and has been widely used for evaluating classification algorithms, including logistic regression, decision trees, support vector machines, and fairness‑aware models</t>
    </r>
  </si>
  <si>
    <r>
      <t xml:space="preserve">The </t>
    </r>
    <r>
      <rPr>
        <b/>
        <sz val="12"/>
        <rFont val="Segoe UI"/>
        <family val="2"/>
        <charset val="204"/>
      </rPr>
      <t>Credit Card Default (UCI)</t>
    </r>
    <r>
      <rPr>
        <sz val="12"/>
        <rFont val="Segoe UI"/>
        <family val="2"/>
        <charset val="204"/>
      </rPr>
      <t xml:space="preserve"> dataset, also known as the “default of credit card clients” dataset, is a classic benchmark for binary classification in credit risk modelling. It was introduced by Yeh and Lien (2009) and has become a standard reference for evaluating machine learning methods in financial risk prediction . The dataset consists of 30,000 credit card clients in Taiwan, each described by 24 features. The data were collected from April to September 2005 and include demographic information, credit limits, bill amounts, and the repayment status for the past six months (April–September) as well as payments for the same period . There are 23 predictive attributes (demographic factors, historical payment records, bill statements and payment amounts) and a binary target variable default.payment.next.month, which takes the value 1 if the client defaulted on the following month's payment and 0 otherwise . The dataset exhibits a moderate class imbalance: about 22 % of the clients defaulted, while 78 % did not.</t>
    </r>
  </si>
  <si>
    <t>We used the Credit Card Default (UCI) dataset, which contains 29 944 instances with a 22,1 % anomaly rate. It comprises 14 numerical and 9 categorical features. The data were used after preprocessing (missing values, duplicates, and constant features were removed). F1 and Recall scores were obtained with a threshold of 0.5. We used 452 instances for finetuning, of which 100 were anomalies, and the same number (452  instances, 100 anomalies) for testing.</t>
  </si>
  <si>
    <t>We used the Road Safety dataset, which contains 111 419 instances with a 50,0 % anomaly rate. It comprises 25 numerical and 4 categorical features (Removed: 'Vehicle_Reference_df_res', 'Vehicle_Reference_df', 'Casualty_Reference'. Target: 'Sex_of_Driver'). The data were used after preprocessing (missing values, duplicates, and constant features were removed). F1 and Recall scores were obtained with a threshold of 0.5. We used 200 instances for finetuning, of which 100 were anomalies, and the same number (200  instances, 100 anomalies) for testing.</t>
  </si>
  <si>
    <t>We used the NIDS dataset, which contains 72 000 instances with a 48,0 % anomaly rate. It comprises 54 numerical and 12 categorical features (Removed: 'timestamp' (timestamp); 'fwd_urg_flags', 'urg_flag_cnt', 'ece_flag_cnt' (constant features). The data were used after preprocessing (missing values, duplicates, and constant features were removed). F1 and Recall scores were obtained with a threshold of 0.5. We used 208 instances for finetuning, of which 100 were anomalies, and the same number (208  instances, 100 anomalies) for testing.</t>
  </si>
  <si>
    <t>We used the Adult dataset, which contains 48 785 instances with a 16,08 % anomaly rate. It comprises 5 numerical and 8 categorical features ('education-num' was removed, as it duplicates 'education'). The data were used after preprocessing (missing values, duplicates, and constant features were removed). F1 and Recall scores were obtained with a threshold of 0.5. We used 622 instances for finetuning, of which 100 were anomalies, and the same number (622  instances, 100 anomalies) for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</si>
</sst>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
    <numFmt numFmtId="165" formatCode="0.0%"/>
  </numFmts>
  <fonts count="21" x14ac:knownFonts="1">
    <font>
      <sz val="11"/>
      <color theme="1"/>
      <name val="Calibri"/>
      <family val="2"/>
      <charset val="204"/>
      <scheme val="minor"/>
    </font>
    <font>
      <b/>
      <sz val="11"/>
      <color theme="1"/>
      <name val="Calibri"/>
      <family val="2"/>
      <charset val="204"/>
      <scheme val="minor"/>
    </font>
    <font>
      <sz val="11"/>
      <color rgb="FF0F1115"/>
      <name val="Segoe UI"/>
      <family val="2"/>
      <charset val="204"/>
    </font>
    <font>
      <sz val="11"/>
      <color rgb="FF0F1115"/>
      <name val="Segoe UI"/>
      <family val="2"/>
      <charset val="204"/>
    </font>
    <font>
      <b/>
      <sz val="11"/>
      <color rgb="FF0F1115"/>
      <name val="Segoe UI"/>
      <family val="2"/>
      <charset val="204"/>
    </font>
    <font>
      <sz val="11"/>
      <color theme="1"/>
      <name val="Segoe UI"/>
      <family val="2"/>
      <charset val="204"/>
    </font>
    <font>
      <b/>
      <sz val="15"/>
      <color rgb="FF0F1115"/>
      <name val="Segoe UI"/>
      <family val="2"/>
      <charset val="204"/>
    </font>
    <font>
      <sz val="11"/>
      <color theme="1"/>
      <name val="Calibri"/>
      <family val="2"/>
      <charset val="204"/>
      <scheme val="minor"/>
    </font>
    <font>
      <sz val="11"/>
      <name val="Segoe UI"/>
      <family val="2"/>
      <charset val="204"/>
    </font>
    <font>
      <sz val="12"/>
      <name val="Segoe UI"/>
      <family val="2"/>
      <charset val="204"/>
    </font>
    <font>
      <sz val="11"/>
      <name val="Calibri"/>
      <family val="2"/>
      <charset val="204"/>
      <scheme val="minor"/>
    </font>
    <font>
      <sz val="22"/>
      <color rgb="FFFF0000"/>
      <name val="Calibri"/>
      <family val="2"/>
      <charset val="204"/>
      <scheme val="minor"/>
    </font>
    <font>
      <b/>
      <sz val="11"/>
      <color rgb="FFFF0000"/>
      <name val="Segoe UI"/>
      <family val="2"/>
      <charset val="204"/>
    </font>
    <font>
      <b/>
      <sz val="11"/>
      <name val="Segoe UI"/>
      <family val="2"/>
      <charset val="204"/>
    </font>
    <font>
      <sz val="11"/>
      <color rgb="FFFF0000"/>
      <name val="Calibri"/>
      <family val="2"/>
      <charset val="204"/>
      <scheme val="minor"/>
    </font>
    <font>
      <i/>
      <sz val="11"/>
      <color rgb="FF0F1115"/>
      <name val="Segoe UI"/>
      <family val="2"/>
      <charset val="204"/>
    </font>
    <font>
      <sz val="14"/>
      <color theme="1"/>
      <name val="Calibri"/>
      <family val="2"/>
      <charset val="204"/>
      <scheme val="minor"/>
    </font>
    <font>
      <b/>
      <sz val="14"/>
      <color theme="1"/>
      <name val="Calibri"/>
      <family val="2"/>
      <charset val="204"/>
      <scheme val="minor"/>
    </font>
    <font>
      <b/>
      <sz val="11"/>
      <name val="Calibri"/>
      <family val="2"/>
      <charset val="204"/>
      <scheme val="minor"/>
    </font>
    <font>
      <b/>
      <sz val="12"/>
      <name val="Segoe UI"/>
      <family val="2"/>
      <charset val="204"/>
    </font>
    <font>
      <b/>
      <sz val="9"/>
      <color rgb="FF0F1115"/>
      <name val="Segoe UI"/>
      <family val="2"/>
      <charset val="204"/>
    </font>
  </fonts>
  <fills count="7">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99"/>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style="medium">
        <color indexed="64"/>
      </top>
      <bottom/>
      <diagonal/>
    </border>
  </borders>
  <cellStyleXfs count="3">
    <xf numFmtId="0" fontId="0" fillId="0" borderId="0"/>
    <xf numFmtId="9" fontId="7" fillId="0" borderId="0" applyFont="0" applyFill="0" applyBorder="0" applyAlignment="0" applyProtection="0"/>
    <xf numFmtId="43" fontId="7" fillId="0" borderId="0" applyFont="0" applyFill="0" applyBorder="0" applyAlignment="0" applyProtection="0"/>
  </cellStyleXfs>
  <cellXfs count="173">
    <xf numFmtId="0" fontId="0" fillId="0" borderId="0" xfId="0"/>
    <xf numFmtId="0" fontId="6"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xf>
    <xf numFmtId="0" fontId="5" fillId="0" borderId="0" xfId="0" applyFont="1" applyAlignment="1">
      <alignment horizontal="left" vertical="center" wrapText="1" indent="1"/>
    </xf>
    <xf numFmtId="0" fontId="3" fillId="0" borderId="0" xfId="0" applyFont="1" applyAlignment="1">
      <alignment horizontal="center" vertical="center" wrapText="1"/>
    </xf>
    <xf numFmtId="0" fontId="2" fillId="0" borderId="0" xfId="0" applyFont="1" applyAlignment="1">
      <alignment horizontal="left" vertical="center" wrapText="1" indent="1"/>
    </xf>
    <xf numFmtId="0" fontId="8" fillId="0" borderId="0" xfId="0" applyFont="1" applyAlignment="1">
      <alignment horizontal="left" vertical="center" wrapText="1" indent="1"/>
    </xf>
    <xf numFmtId="0" fontId="1" fillId="0" borderId="0" xfId="0" applyFont="1" applyAlignment="1">
      <alignment horizontal="center" vertical="center"/>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1" fillId="0" borderId="22" xfId="0" applyFont="1" applyBorder="1" applyAlignment="1">
      <alignment horizontal="center" vertical="center"/>
    </xf>
    <xf numFmtId="0" fontId="4" fillId="0" borderId="14" xfId="0" applyFont="1" applyBorder="1" applyAlignment="1">
      <alignment horizontal="center" vertical="center" wrapText="1"/>
    </xf>
    <xf numFmtId="164" fontId="2" fillId="0" borderId="4" xfId="0" applyNumberFormat="1" applyFont="1" applyBorder="1" applyAlignment="1">
      <alignment horizontal="center" vertical="center" wrapText="1"/>
    </xf>
    <xf numFmtId="2" fontId="2" fillId="0" borderId="21" xfId="0" applyNumberFormat="1" applyFont="1" applyBorder="1" applyAlignment="1">
      <alignment horizontal="center" vertical="center" wrapText="1"/>
    </xf>
    <xf numFmtId="0" fontId="2" fillId="0" borderId="13" xfId="0" applyFont="1" applyBorder="1" applyAlignment="1">
      <alignment horizontal="center" vertical="center" wrapText="1"/>
    </xf>
    <xf numFmtId="10" fontId="0" fillId="0" borderId="0" xfId="1" applyNumberFormat="1" applyFont="1" applyAlignment="1">
      <alignment horizontal="center"/>
    </xf>
    <xf numFmtId="2" fontId="2" fillId="0" borderId="32" xfId="0" applyNumberFormat="1" applyFont="1" applyBorder="1" applyAlignment="1">
      <alignment horizontal="center" vertical="center" wrapText="1"/>
    </xf>
    <xf numFmtId="0" fontId="4" fillId="0" borderId="3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7" xfId="0" applyFont="1" applyBorder="1" applyAlignment="1">
      <alignment horizontal="center" vertical="center" wrapText="1"/>
    </xf>
    <xf numFmtId="0" fontId="11" fillId="0" borderId="0" xfId="0" applyFont="1" applyAlignment="1">
      <alignment vertical="center" wrapText="1"/>
    </xf>
    <xf numFmtId="164" fontId="2" fillId="3" borderId="4" xfId="0" applyNumberFormat="1" applyFont="1" applyFill="1" applyBorder="1" applyAlignment="1">
      <alignment horizontal="center" vertical="center" wrapText="1"/>
    </xf>
    <xf numFmtId="0" fontId="0" fillId="0" borderId="0" xfId="0" applyAlignment="1">
      <alignment vertical="center"/>
    </xf>
    <xf numFmtId="164" fontId="2" fillId="0" borderId="1"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Border="1"/>
    <xf numFmtId="164" fontId="2" fillId="2" borderId="1" xfId="0" applyNumberFormat="1" applyFont="1" applyFill="1" applyBorder="1" applyAlignment="1">
      <alignment horizontal="center" vertical="center" wrapText="1"/>
    </xf>
    <xf numFmtId="0" fontId="0" fillId="0" borderId="0" xfId="0" applyAlignment="1">
      <alignment horizontal="center" vertical="center"/>
    </xf>
    <xf numFmtId="10" fontId="2" fillId="0" borderId="1" xfId="1" applyNumberFormat="1" applyFont="1" applyBorder="1" applyAlignment="1">
      <alignment horizontal="center" vertical="center" wrapText="1"/>
    </xf>
    <xf numFmtId="0" fontId="2" fillId="0" borderId="1" xfId="0" applyFont="1" applyBorder="1" applyAlignment="1">
      <alignment horizontal="center" vertical="center" wrapText="1"/>
    </xf>
    <xf numFmtId="164" fontId="4" fillId="0" borderId="0" xfId="0" applyNumberFormat="1" applyFont="1" applyAlignment="1">
      <alignment vertical="center" wrapText="1"/>
    </xf>
    <xf numFmtId="0" fontId="14" fillId="0" borderId="0" xfId="0" applyFont="1"/>
    <xf numFmtId="164" fontId="2" fillId="0" borderId="8" xfId="0" applyNumberFormat="1" applyFont="1" applyBorder="1" applyAlignment="1">
      <alignment horizontal="center" vertical="center" wrapText="1"/>
    </xf>
    <xf numFmtId="0" fontId="2" fillId="0" borderId="1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xf>
    <xf numFmtId="43" fontId="15" fillId="0" borderId="3" xfId="2" applyFont="1" applyBorder="1" applyAlignment="1">
      <alignment horizontal="center" vertical="center" wrapText="1"/>
    </xf>
    <xf numFmtId="164" fontId="15" fillId="0" borderId="4" xfId="0" applyNumberFormat="1" applyFont="1" applyBorder="1" applyAlignment="1">
      <alignment horizontal="center" vertical="center" wrapText="1"/>
    </xf>
    <xf numFmtId="164" fontId="2" fillId="0" borderId="7"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164" fontId="2" fillId="0" borderId="11" xfId="0" applyNumberFormat="1" applyFont="1" applyBorder="1" applyAlignment="1">
      <alignment horizontal="center" vertical="center" wrapText="1"/>
    </xf>
    <xf numFmtId="164" fontId="15" fillId="0" borderId="13" xfId="0" applyNumberFormat="1" applyFont="1" applyBorder="1" applyAlignment="1">
      <alignment horizontal="center" vertical="center" wrapText="1"/>
    </xf>
    <xf numFmtId="165" fontId="2" fillId="0" borderId="19" xfId="1" applyNumberFormat="1" applyFont="1" applyFill="1" applyBorder="1" applyAlignment="1">
      <alignment horizontal="center" vertical="center" wrapText="1"/>
    </xf>
    <xf numFmtId="43" fontId="2" fillId="0" borderId="19" xfId="2" applyFont="1" applyFill="1" applyBorder="1" applyAlignment="1">
      <alignment horizontal="center" vertical="center" wrapText="1"/>
    </xf>
    <xf numFmtId="165" fontId="2" fillId="0" borderId="22" xfId="1" applyNumberFormat="1" applyFont="1" applyFill="1" applyBorder="1" applyAlignment="1">
      <alignment horizontal="center" vertical="center" wrapText="1"/>
    </xf>
    <xf numFmtId="164" fontId="15" fillId="3" borderId="4" xfId="0" applyNumberFormat="1" applyFont="1" applyFill="1" applyBorder="1" applyAlignment="1">
      <alignment horizontal="center" vertical="center" wrapText="1"/>
    </xf>
    <xf numFmtId="164" fontId="2" fillId="0" borderId="29" xfId="0" applyNumberFormat="1" applyFont="1" applyBorder="1" applyAlignment="1">
      <alignment horizontal="center" vertical="center" wrapText="1"/>
    </xf>
    <xf numFmtId="43" fontId="15" fillId="0" borderId="27" xfId="2" applyFont="1" applyBorder="1" applyAlignment="1">
      <alignment horizontal="center" vertical="center" wrapText="1"/>
    </xf>
    <xf numFmtId="165" fontId="2" fillId="0" borderId="28" xfId="1" applyNumberFormat="1" applyFont="1" applyFill="1" applyBorder="1" applyAlignment="1">
      <alignment horizontal="center" vertical="center" wrapText="1"/>
    </xf>
    <xf numFmtId="165" fontId="2" fillId="3" borderId="34" xfId="1" applyNumberFormat="1" applyFont="1" applyFill="1" applyBorder="1" applyAlignment="1">
      <alignment horizontal="center" vertical="center" wrapText="1"/>
    </xf>
    <xf numFmtId="165" fontId="2" fillId="3" borderId="20" xfId="1" applyNumberFormat="1" applyFont="1" applyFill="1" applyBorder="1" applyAlignment="1">
      <alignment horizontal="center" vertical="center" wrapText="1"/>
    </xf>
    <xf numFmtId="165" fontId="2" fillId="4" borderId="19" xfId="1" applyNumberFormat="1" applyFont="1" applyFill="1" applyBorder="1" applyAlignment="1">
      <alignment horizontal="center" vertical="center" wrapText="1"/>
    </xf>
    <xf numFmtId="165" fontId="2" fillId="3" borderId="19" xfId="1" applyNumberFormat="1" applyFont="1" applyFill="1" applyBorder="1" applyAlignment="1">
      <alignment horizontal="center" vertical="center" wrapText="1"/>
    </xf>
    <xf numFmtId="165" fontId="2" fillId="4" borderId="20" xfId="1" applyNumberFormat="1" applyFont="1" applyFill="1" applyBorder="1" applyAlignment="1">
      <alignment horizontal="center" vertical="center" wrapText="1"/>
    </xf>
    <xf numFmtId="0" fontId="0" fillId="0" borderId="0" xfId="0" applyAlignment="1">
      <alignment vertical="center" wrapText="1"/>
    </xf>
    <xf numFmtId="164" fontId="0" fillId="0" borderId="1" xfId="0" applyNumberFormat="1" applyBorder="1" applyAlignment="1">
      <alignment horizontal="center" vertical="center" wrapText="1"/>
    </xf>
    <xf numFmtId="10" fontId="0" fillId="0" borderId="1" xfId="1" applyNumberFormat="1" applyFont="1" applyBorder="1" applyAlignment="1">
      <alignment horizontal="center" vertical="center" wrapText="1"/>
    </xf>
    <xf numFmtId="164" fontId="0" fillId="0" borderId="1" xfId="2" applyNumberFormat="1" applyFont="1" applyBorder="1" applyAlignment="1">
      <alignment horizontal="center" vertical="center" wrapText="1"/>
    </xf>
    <xf numFmtId="2" fontId="0" fillId="0" borderId="0" xfId="0" applyNumberFormat="1" applyAlignment="1">
      <alignment vertical="center" wrapText="1"/>
    </xf>
    <xf numFmtId="10" fontId="2" fillId="0" borderId="12" xfId="1" applyNumberFormat="1" applyFont="1" applyFill="1" applyBorder="1" applyAlignment="1">
      <alignment horizontal="center" vertical="center" wrapText="1"/>
    </xf>
    <xf numFmtId="0" fontId="2" fillId="0" borderId="21"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9" fillId="0" borderId="0" xfId="0" applyFont="1" applyAlignment="1">
      <alignment horizontal="left" vertical="center"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16" fillId="0" borderId="0" xfId="0" applyFont="1"/>
    <xf numFmtId="0" fontId="17" fillId="0" borderId="1" xfId="0" applyFont="1" applyBorder="1" applyAlignment="1">
      <alignment vertical="center"/>
    </xf>
    <xf numFmtId="0" fontId="14" fillId="0" borderId="1" xfId="0" applyFont="1" applyBorder="1" applyAlignment="1">
      <alignment vertical="center" wrapText="1"/>
    </xf>
    <xf numFmtId="164" fontId="4" fillId="0" borderId="1" xfId="0" applyNumberFormat="1" applyFont="1" applyBorder="1" applyAlignment="1">
      <alignment horizontal="center" vertical="center" wrapText="1"/>
    </xf>
    <xf numFmtId="10" fontId="7" fillId="0" borderId="0" xfId="1" applyNumberFormat="1" applyFont="1" applyAlignment="1">
      <alignment horizontal="center"/>
    </xf>
    <xf numFmtId="164" fontId="1" fillId="0" borderId="1" xfId="0" applyNumberFormat="1" applyFont="1" applyBorder="1" applyAlignment="1">
      <alignment horizontal="center" vertical="center" wrapText="1"/>
    </xf>
    <xf numFmtId="165" fontId="0" fillId="0" borderId="1" xfId="1" applyNumberFormat="1" applyFont="1" applyFill="1" applyBorder="1" applyAlignment="1">
      <alignment horizontal="center"/>
    </xf>
    <xf numFmtId="10" fontId="2" fillId="2" borderId="1" xfId="1" applyNumberFormat="1" applyFont="1" applyFill="1" applyBorder="1" applyAlignment="1">
      <alignment horizontal="center" vertical="center" wrapText="1"/>
    </xf>
    <xf numFmtId="0" fontId="0" fillId="0" borderId="1" xfId="0" applyBorder="1" applyAlignment="1">
      <alignment horizontal="center"/>
    </xf>
    <xf numFmtId="2" fontId="2"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0" fontId="4" fillId="0" borderId="0" xfId="0" applyFont="1" applyAlignment="1">
      <alignment horizontal="right" vertical="center" wrapText="1"/>
    </xf>
    <xf numFmtId="165" fontId="10" fillId="0" borderId="1" xfId="1" applyNumberFormat="1" applyFont="1" applyFill="1" applyBorder="1" applyAlignment="1">
      <alignment horizontal="center"/>
    </xf>
    <xf numFmtId="0" fontId="0" fillId="0" borderId="0" xfId="0" applyAlignment="1">
      <alignment horizontal="right"/>
    </xf>
    <xf numFmtId="0" fontId="10" fillId="0" borderId="1" xfId="0" applyFont="1" applyBorder="1" applyAlignment="1">
      <alignment horizontal="center" vertical="center"/>
    </xf>
    <xf numFmtId="0" fontId="14" fillId="0" borderId="1" xfId="0" applyFont="1" applyBorder="1" applyAlignment="1">
      <alignment horizontal="center" vertical="center"/>
    </xf>
    <xf numFmtId="0" fontId="2" fillId="0" borderId="14" xfId="0" applyFont="1" applyBorder="1" applyAlignment="1">
      <alignment horizontal="center" vertical="center" wrapText="1"/>
    </xf>
    <xf numFmtId="1" fontId="2" fillId="0" borderId="8" xfId="0" applyNumberFormat="1" applyFont="1" applyBorder="1" applyAlignment="1">
      <alignment horizontal="center" vertical="center" wrapText="1"/>
    </xf>
    <xf numFmtId="1" fontId="2" fillId="0" borderId="9" xfId="0" applyNumberFormat="1" applyFont="1" applyBorder="1" applyAlignment="1">
      <alignment horizontal="center" vertical="center" wrapText="1"/>
    </xf>
    <xf numFmtId="0" fontId="2" fillId="0" borderId="4" xfId="0" applyFont="1" applyBorder="1" applyAlignment="1">
      <alignment horizontal="center" vertical="center" wrapText="1"/>
    </xf>
    <xf numFmtId="164" fontId="2" fillId="0" borderId="13" xfId="0" applyNumberFormat="1" applyFont="1" applyBorder="1" applyAlignment="1">
      <alignment horizontal="center" vertical="center" wrapText="1"/>
    </xf>
    <xf numFmtId="164" fontId="2" fillId="4" borderId="4" xfId="0" applyNumberFormat="1" applyFont="1" applyFill="1" applyBorder="1" applyAlignment="1">
      <alignment horizontal="center" vertical="center" wrapText="1"/>
    </xf>
    <xf numFmtId="164" fontId="2" fillId="0" borderId="24" xfId="0" applyNumberFormat="1" applyFont="1" applyBorder="1" applyAlignment="1">
      <alignment horizontal="center" vertical="center" wrapText="1"/>
    </xf>
    <xf numFmtId="164" fontId="2" fillId="0" borderId="21" xfId="0" applyNumberFormat="1" applyFont="1" applyBorder="1" applyAlignment="1">
      <alignment horizontal="center" vertical="center" wrapText="1"/>
    </xf>
    <xf numFmtId="164" fontId="2" fillId="4" borderId="21"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2" fillId="0" borderId="36" xfId="0" applyFont="1" applyBorder="1" applyAlignment="1">
      <alignment horizontal="center" vertical="center" wrapText="1"/>
    </xf>
    <xf numFmtId="0" fontId="2" fillId="3" borderId="36" xfId="0" applyFont="1" applyFill="1" applyBorder="1" applyAlignment="1">
      <alignment horizontal="center" vertical="center" wrapText="1"/>
    </xf>
    <xf numFmtId="164" fontId="2" fillId="3" borderId="8" xfId="0" applyNumberFormat="1"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15" fillId="0" borderId="23" xfId="0" applyFont="1" applyBorder="1" applyAlignment="1">
      <alignment horizontal="center" vertical="center" wrapText="1"/>
    </xf>
    <xf numFmtId="0" fontId="2" fillId="0" borderId="41" xfId="0" applyFont="1" applyBorder="1" applyAlignment="1">
      <alignment horizontal="center" vertical="center" wrapText="1"/>
    </xf>
    <xf numFmtId="1" fontId="2" fillId="0" borderId="7" xfId="0" applyNumberFormat="1" applyFont="1" applyBorder="1" applyAlignment="1">
      <alignment horizontal="center" vertical="center" wrapText="1"/>
    </xf>
    <xf numFmtId="1" fontId="2" fillId="0" borderId="11" xfId="0" applyNumberFormat="1" applyFont="1" applyBorder="1" applyAlignment="1">
      <alignment horizontal="center" vertical="center" wrapText="1"/>
    </xf>
    <xf numFmtId="1" fontId="2" fillId="0" borderId="29" xfId="0" applyNumberFormat="1" applyFont="1" applyBorder="1" applyAlignment="1">
      <alignment horizontal="center" vertical="center" wrapText="1"/>
    </xf>
    <xf numFmtId="164" fontId="2" fillId="0" borderId="32" xfId="0" applyNumberFormat="1" applyFont="1" applyBorder="1" applyAlignment="1">
      <alignment horizontal="center" vertical="center" wrapText="1"/>
    </xf>
    <xf numFmtId="0" fontId="0" fillId="0" borderId="25" xfId="0" applyBorder="1"/>
    <xf numFmtId="43" fontId="0" fillId="0" borderId="3" xfId="2" applyFont="1" applyBorder="1" applyAlignment="1">
      <alignment vertical="center"/>
    </xf>
    <xf numFmtId="43" fontId="0" fillId="3" borderId="4" xfId="2" applyFont="1" applyFill="1" applyBorder="1" applyAlignment="1">
      <alignment vertical="center"/>
    </xf>
    <xf numFmtId="43" fontId="0" fillId="0" borderId="4" xfId="2" applyFont="1" applyBorder="1" applyAlignment="1">
      <alignment vertical="center"/>
    </xf>
    <xf numFmtId="0" fontId="0" fillId="0" borderId="39" xfId="0" applyBorder="1"/>
    <xf numFmtId="43" fontId="0" fillId="3" borderId="6" xfId="2" applyFont="1" applyFill="1" applyBorder="1" applyAlignment="1">
      <alignment vertical="center"/>
    </xf>
    <xf numFmtId="0" fontId="2" fillId="6" borderId="36" xfId="0" applyFont="1" applyFill="1" applyBorder="1" applyAlignment="1">
      <alignment horizontal="center" vertical="center" wrapText="1"/>
    </xf>
    <xf numFmtId="164" fontId="2" fillId="6" borderId="8" xfId="0" applyNumberFormat="1" applyFont="1" applyFill="1" applyBorder="1" applyAlignment="1">
      <alignment horizontal="center" vertical="center" wrapText="1"/>
    </xf>
    <xf numFmtId="164" fontId="2" fillId="6" borderId="4" xfId="0" applyNumberFormat="1" applyFont="1" applyFill="1" applyBorder="1" applyAlignment="1">
      <alignment horizontal="center" vertical="center" wrapText="1"/>
    </xf>
    <xf numFmtId="0" fontId="13" fillId="0" borderId="10"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3" fontId="8" fillId="0" borderId="37" xfId="0" applyNumberFormat="1" applyFont="1" applyBorder="1" applyAlignment="1">
      <alignment horizontal="center" vertical="center" wrapText="1"/>
    </xf>
    <xf numFmtId="3" fontId="8" fillId="0" borderId="33" xfId="0" applyNumberFormat="1" applyFont="1" applyBorder="1" applyAlignment="1">
      <alignment horizontal="center" vertical="center" wrapText="1"/>
    </xf>
    <xf numFmtId="3" fontId="8" fillId="0" borderId="38" xfId="0" applyNumberFormat="1" applyFont="1" applyBorder="1" applyAlignment="1">
      <alignment horizontal="center" vertical="center" wrapText="1"/>
    </xf>
    <xf numFmtId="0" fontId="8" fillId="0" borderId="37"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8"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8" xfId="0" applyFont="1" applyBorder="1" applyAlignment="1">
      <alignment horizontal="center" vertical="center" wrapText="1"/>
    </xf>
    <xf numFmtId="1" fontId="2" fillId="0" borderId="11" xfId="2" applyNumberFormat="1" applyFont="1" applyFill="1" applyBorder="1" applyAlignment="1">
      <alignment horizontal="center" vertical="center" wrapText="1"/>
    </xf>
    <xf numFmtId="1" fontId="2" fillId="0" borderId="29" xfId="2" applyNumberFormat="1" applyFont="1" applyFill="1" applyBorder="1" applyAlignment="1">
      <alignment horizontal="center" vertical="center" wrapText="1"/>
    </xf>
    <xf numFmtId="3" fontId="2" fillId="0" borderId="30" xfId="0" applyNumberFormat="1" applyFont="1" applyBorder="1" applyAlignment="1">
      <alignment horizontal="center" vertical="center" wrapText="1"/>
    </xf>
    <xf numFmtId="0" fontId="13" fillId="0" borderId="16"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0" xfId="0" applyFont="1" applyAlignment="1">
      <alignment horizontal="center" vertical="center" wrapText="1"/>
    </xf>
    <xf numFmtId="0" fontId="17" fillId="0" borderId="15" xfId="0" applyFont="1" applyBorder="1" applyAlignment="1">
      <alignment horizontal="center" vertical="center" wrapText="1"/>
    </xf>
    <xf numFmtId="0" fontId="17" fillId="0" borderId="39" xfId="0" applyFont="1" applyBorder="1" applyAlignment="1">
      <alignment horizontal="center" vertical="center" wrapText="1"/>
    </xf>
    <xf numFmtId="0" fontId="1" fillId="0" borderId="7" xfId="0" applyFont="1" applyBorder="1" applyAlignment="1">
      <alignment horizontal="center" vertical="center"/>
    </xf>
    <xf numFmtId="0" fontId="1" fillId="0" borderId="40" xfId="0" applyFont="1" applyBorder="1" applyAlignment="1">
      <alignment horizontal="center" vertical="center"/>
    </xf>
    <xf numFmtId="0" fontId="4" fillId="0" borderId="7"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1" fillId="0" borderId="25"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5" xfId="0" applyFont="1" applyBorder="1" applyAlignment="1">
      <alignment horizontal="right" vertical="center" wrapText="1"/>
    </xf>
    <xf numFmtId="0" fontId="4" fillId="0" borderId="0" xfId="0" applyFont="1" applyAlignment="1">
      <alignment horizontal="right" vertical="center" wrapText="1"/>
    </xf>
    <xf numFmtId="0" fontId="2" fillId="0" borderId="0" xfId="0" applyFont="1" applyAlignment="1">
      <alignment horizontal="right" vertical="center" wrapText="1"/>
    </xf>
    <xf numFmtId="0" fontId="20" fillId="0" borderId="0" xfId="0" applyFont="1" applyAlignment="1">
      <alignment horizontal="left" wrapText="1"/>
    </xf>
    <xf numFmtId="0" fontId="4" fillId="0" borderId="39" xfId="0" applyFont="1" applyBorder="1" applyAlignment="1">
      <alignment horizontal="right" vertical="center" wrapText="1"/>
    </xf>
    <xf numFmtId="0" fontId="18"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7" fillId="0" borderId="0" xfId="0" applyFont="1" applyAlignment="1">
      <alignment horizontal="center" vertical="center"/>
    </xf>
    <xf numFmtId="0" fontId="9" fillId="0" borderId="0" xfId="0" applyFont="1" applyAlignment="1">
      <alignment horizontal="left"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31"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4" xfId="0" applyFont="1" applyBorder="1" applyAlignment="1">
      <alignment horizontal="center" vertical="center" wrapText="1"/>
    </xf>
    <xf numFmtId="0" fontId="17" fillId="5" borderId="0" xfId="0" applyFont="1" applyFill="1" applyAlignment="1">
      <alignment horizontal="center"/>
    </xf>
    <xf numFmtId="0" fontId="0" fillId="0" borderId="0" xfId="0" applyAlignment="1">
      <alignment horizontal="center" vertical="center"/>
    </xf>
  </cellXfs>
  <cellStyles count="3">
    <cellStyle name="Обычный" xfId="0" builtinId="0"/>
    <cellStyle name="Процентный" xfId="1" builtinId="5"/>
    <cellStyle name="Финансовый" xfId="2" builtinId="3"/>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EA8D-6611-43DA-8AA7-12200C96CB53}">
  <sheetPr>
    <tabColor theme="0"/>
  </sheetPr>
  <dimension ref="B1:L52"/>
  <sheetViews>
    <sheetView tabSelected="1" zoomScale="85" zoomScaleNormal="85" workbookViewId="0">
      <selection activeCell="N42" sqref="N42"/>
    </sheetView>
  </sheetViews>
  <sheetFormatPr defaultRowHeight="14.4" x14ac:dyDescent="0.3"/>
  <cols>
    <col min="2" max="2" width="17.88671875" customWidth="1"/>
    <col min="3" max="3" width="11.33203125" customWidth="1"/>
    <col min="4" max="4" width="12" customWidth="1"/>
    <col min="5" max="5" width="11.109375" customWidth="1"/>
    <col min="6" max="6" width="13.109375" style="30" customWidth="1"/>
    <col min="7" max="7" width="11.109375" customWidth="1"/>
    <col min="8" max="8" width="18.109375" customWidth="1"/>
    <col min="9" max="10" width="12.5546875" customWidth="1"/>
    <col min="11" max="11" width="1.6640625" customWidth="1"/>
    <col min="12" max="12" width="14.109375" customWidth="1"/>
  </cols>
  <sheetData>
    <row r="1" spans="2:12" ht="15" thickBot="1" x14ac:dyDescent="0.35"/>
    <row r="2" spans="2:12" ht="16.8" x14ac:dyDescent="0.3">
      <c r="B2" s="139" t="s">
        <v>71</v>
      </c>
      <c r="C2" s="140"/>
      <c r="D2" s="140"/>
      <c r="E2" s="140"/>
      <c r="F2" s="140"/>
      <c r="G2" s="140"/>
      <c r="H2" s="155" t="s">
        <v>8</v>
      </c>
      <c r="I2" s="155"/>
      <c r="J2" s="155"/>
      <c r="K2" s="114"/>
      <c r="L2" s="115">
        <f>(L11+L17+L23+L29+L35+L41+L47)/7*100</f>
        <v>5431.4576570574836</v>
      </c>
    </row>
    <row r="3" spans="2:12" ht="16.8" x14ac:dyDescent="0.3">
      <c r="B3" s="141"/>
      <c r="C3" s="142"/>
      <c r="D3" s="142"/>
      <c r="E3" s="142"/>
      <c r="F3" s="142"/>
      <c r="G3" s="142"/>
      <c r="H3" s="156" t="s">
        <v>6</v>
      </c>
      <c r="I3" s="156"/>
      <c r="J3" s="156"/>
      <c r="L3" s="116">
        <f>(L12+L18+L24+L30+L36+L42+L48)/7*100</f>
        <v>19.09369623770813</v>
      </c>
    </row>
    <row r="4" spans="2:12" ht="16.8" x14ac:dyDescent="0.3">
      <c r="B4" s="141"/>
      <c r="C4" s="142"/>
      <c r="D4" s="142"/>
      <c r="E4" s="142"/>
      <c r="F4" s="142"/>
      <c r="G4" s="142"/>
      <c r="H4" s="157" t="s">
        <v>11</v>
      </c>
      <c r="I4" s="157"/>
      <c r="J4" s="157"/>
      <c r="L4" s="117">
        <f>(L14+L20+L26+L32+L38+L44+L50)/7*100</f>
        <v>8682.8173616242311</v>
      </c>
    </row>
    <row r="5" spans="2:12" ht="16.8" x14ac:dyDescent="0.3">
      <c r="B5" s="141"/>
      <c r="C5" s="142"/>
      <c r="D5" s="142"/>
      <c r="E5" s="142"/>
      <c r="F5" s="142"/>
      <c r="G5" s="142"/>
      <c r="H5" s="157" t="s">
        <v>5</v>
      </c>
      <c r="I5" s="157"/>
      <c r="J5" s="157"/>
      <c r="L5" s="117">
        <f>(L15+L21+L27+L33+L39+L45+L51)/7*100</f>
        <v>355.01595149401982</v>
      </c>
    </row>
    <row r="6" spans="2:12" ht="17.399999999999999" thickBot="1" x14ac:dyDescent="0.35">
      <c r="B6" s="143"/>
      <c r="C6" s="144"/>
      <c r="D6" s="144"/>
      <c r="E6" s="144"/>
      <c r="F6" s="144"/>
      <c r="G6" s="144"/>
      <c r="H6" s="159" t="s">
        <v>1</v>
      </c>
      <c r="I6" s="159"/>
      <c r="J6" s="159"/>
      <c r="K6" s="118"/>
      <c r="L6" s="119">
        <f>(L16+L22+L28+L34+L40+L46+L52)/7*100</f>
        <v>5.0470119626398988</v>
      </c>
    </row>
    <row r="7" spans="2:12" ht="21.6" customHeight="1" x14ac:dyDescent="0.3">
      <c r="I7" s="158" t="s">
        <v>65</v>
      </c>
      <c r="J7" s="158"/>
      <c r="K7" s="158"/>
      <c r="L7" s="158"/>
    </row>
    <row r="8" spans="2:12" ht="15" thickBot="1" x14ac:dyDescent="0.35"/>
    <row r="9" spans="2:12" ht="34.200000000000003" customHeight="1" thickBot="1" x14ac:dyDescent="0.35">
      <c r="B9" s="147" t="s">
        <v>53</v>
      </c>
      <c r="C9" s="148"/>
      <c r="D9" s="149"/>
      <c r="E9" s="150"/>
      <c r="F9" s="151" t="s">
        <v>54</v>
      </c>
      <c r="G9" s="153" t="s">
        <v>64</v>
      </c>
      <c r="H9" s="154"/>
      <c r="I9" s="145" t="s">
        <v>14</v>
      </c>
      <c r="J9" s="146"/>
      <c r="K9" s="9"/>
      <c r="L9" s="12" t="s">
        <v>70</v>
      </c>
    </row>
    <row r="10" spans="2:12" ht="37.799999999999997" customHeight="1" thickBot="1" x14ac:dyDescent="0.35">
      <c r="B10" s="38" t="s">
        <v>59</v>
      </c>
      <c r="C10" s="37" t="s">
        <v>56</v>
      </c>
      <c r="D10" s="11" t="s">
        <v>58</v>
      </c>
      <c r="E10" s="11" t="s">
        <v>57</v>
      </c>
      <c r="F10" s="152"/>
      <c r="G10" s="10" t="s">
        <v>56</v>
      </c>
      <c r="H10" s="36" t="s">
        <v>55</v>
      </c>
      <c r="I10" s="10" t="s">
        <v>15</v>
      </c>
      <c r="J10" s="108" t="s">
        <v>47</v>
      </c>
      <c r="K10" s="9"/>
      <c r="L10" s="109" t="s">
        <v>3</v>
      </c>
    </row>
    <row r="11" spans="2:12" ht="18.75" customHeight="1" x14ac:dyDescent="0.3">
      <c r="B11" s="123" t="s">
        <v>19</v>
      </c>
      <c r="C11" s="126">
        <v>1000000</v>
      </c>
      <c r="D11" s="129" t="s">
        <v>60</v>
      </c>
      <c r="E11" s="129" t="s">
        <v>13</v>
      </c>
      <c r="F11" s="110" t="s">
        <v>0</v>
      </c>
      <c r="G11" s="137">
        <v>9066</v>
      </c>
      <c r="H11" s="105" t="s">
        <v>8</v>
      </c>
      <c r="I11" s="41">
        <f>BAF!C5</f>
        <v>1.0999999999999999E-2</v>
      </c>
      <c r="J11" s="39">
        <v>0</v>
      </c>
      <c r="K11" s="6"/>
      <c r="L11" s="47">
        <f t="shared" ref="L11:L16" si="0">$I$13/I11-1</f>
        <v>11.290909090909093</v>
      </c>
    </row>
    <row r="12" spans="2:12" ht="18.75" customHeight="1" x14ac:dyDescent="0.3">
      <c r="B12" s="124"/>
      <c r="C12" s="127"/>
      <c r="D12" s="130"/>
      <c r="E12" s="130"/>
      <c r="F12" s="92" t="s">
        <v>0</v>
      </c>
      <c r="G12" s="133"/>
      <c r="H12" s="13" t="s">
        <v>6</v>
      </c>
      <c r="I12" s="35">
        <f>BAF!D9</f>
        <v>8.7989999999999999E-2</v>
      </c>
      <c r="J12" s="40">
        <f>BAF!E9</f>
        <v>1.3087780560507569E-3</v>
      </c>
      <c r="K12" s="7"/>
      <c r="L12" s="55">
        <f t="shared" si="0"/>
        <v>0.53653824298215724</v>
      </c>
    </row>
    <row r="13" spans="2:12" ht="18.75" customHeight="1" x14ac:dyDescent="0.3">
      <c r="B13" s="124"/>
      <c r="C13" s="127"/>
      <c r="D13" s="130"/>
      <c r="E13" s="130"/>
      <c r="F13" s="135">
        <v>100000</v>
      </c>
      <c r="G13" s="133"/>
      <c r="H13" s="102" t="s">
        <v>17</v>
      </c>
      <c r="I13" s="103">
        <f>BAF!D10</f>
        <v>0.13520000000000001</v>
      </c>
      <c r="J13" s="48">
        <f>BAF!E10</f>
        <v>1.3713861600585008E-2</v>
      </c>
      <c r="K13" s="7"/>
      <c r="L13" s="46">
        <f t="shared" si="0"/>
        <v>0</v>
      </c>
    </row>
    <row r="14" spans="2:12" ht="18.75" customHeight="1" x14ac:dyDescent="0.3">
      <c r="B14" s="124"/>
      <c r="C14" s="127"/>
      <c r="D14" s="130"/>
      <c r="E14" s="130"/>
      <c r="F14" s="136"/>
      <c r="G14" s="133"/>
      <c r="H14" s="101" t="s">
        <v>11</v>
      </c>
      <c r="I14" s="35">
        <f>BAF!D13</f>
        <v>9.75E-3</v>
      </c>
      <c r="J14" s="40">
        <f>BAF!E13</f>
        <v>5.4267854204860533E-4</v>
      </c>
      <c r="K14" s="7"/>
      <c r="L14" s="45">
        <f t="shared" si="0"/>
        <v>12.866666666666669</v>
      </c>
    </row>
    <row r="15" spans="2:12" ht="18.75" customHeight="1" x14ac:dyDescent="0.3">
      <c r="B15" s="124"/>
      <c r="C15" s="127"/>
      <c r="D15" s="130"/>
      <c r="E15" s="130"/>
      <c r="F15" s="92" t="s">
        <v>0</v>
      </c>
      <c r="G15" s="133"/>
      <c r="H15" s="91" t="s">
        <v>5</v>
      </c>
      <c r="I15" s="35">
        <f>BAF!D11</f>
        <v>7.2209999999999996E-2</v>
      </c>
      <c r="J15" s="40">
        <f>BAF!E11</f>
        <v>2.8507207860469258E-2</v>
      </c>
      <c r="K15" s="5"/>
      <c r="L15" s="45">
        <f t="shared" si="0"/>
        <v>0.87231685362138234</v>
      </c>
    </row>
    <row r="16" spans="2:12" ht="18.75" customHeight="1" thickBot="1" x14ac:dyDescent="0.35">
      <c r="B16" s="124"/>
      <c r="C16" s="127"/>
      <c r="D16" s="130"/>
      <c r="E16" s="130"/>
      <c r="F16" s="111" t="s">
        <v>0</v>
      </c>
      <c r="G16" s="133"/>
      <c r="H16" s="19" t="s">
        <v>1</v>
      </c>
      <c r="I16" s="43">
        <f>BAF!D12</f>
        <v>0.10124</v>
      </c>
      <c r="J16" s="44">
        <f>BAF!E12</f>
        <v>1.2253913660541273E-2</v>
      </c>
      <c r="K16" s="8"/>
      <c r="L16" s="52">
        <f t="shared" si="0"/>
        <v>0.33544053733702106</v>
      </c>
    </row>
    <row r="17" spans="2:12" ht="18" customHeight="1" x14ac:dyDescent="0.3">
      <c r="B17" s="123" t="s">
        <v>26</v>
      </c>
      <c r="C17" s="126">
        <v>283726</v>
      </c>
      <c r="D17" s="129" t="s">
        <v>61</v>
      </c>
      <c r="E17" s="129" t="s">
        <v>27</v>
      </c>
      <c r="F17" s="110" t="s">
        <v>0</v>
      </c>
      <c r="G17" s="137">
        <v>59984</v>
      </c>
      <c r="H17" s="107" t="s">
        <v>8</v>
      </c>
      <c r="I17" s="97">
        <f>'Fraud Detection'!C5</f>
        <v>1.6999999999999999E-3</v>
      </c>
      <c r="J17" s="39">
        <v>0</v>
      </c>
      <c r="K17" s="6"/>
      <c r="L17" s="47">
        <f>$I$19/I17-1</f>
        <v>363.62941176470588</v>
      </c>
    </row>
    <row r="18" spans="2:12" ht="18" customHeight="1" x14ac:dyDescent="0.3">
      <c r="B18" s="124"/>
      <c r="C18" s="127"/>
      <c r="D18" s="130"/>
      <c r="E18" s="130"/>
      <c r="F18" s="92" t="s">
        <v>0</v>
      </c>
      <c r="G18" s="133"/>
      <c r="H18" s="20" t="s">
        <v>6</v>
      </c>
      <c r="I18" s="98">
        <f>'Fraud Detection'!D9</f>
        <v>0.66180000000000017</v>
      </c>
      <c r="J18" s="14">
        <f>'Fraud Detection'!E9</f>
        <v>1.1102230246251565E-16</v>
      </c>
      <c r="K18" s="7"/>
      <c r="L18" s="54">
        <f t="shared" ref="L18:L22" si="1">$I$19/I18-1</f>
        <v>-6.3357509821698743E-2</v>
      </c>
    </row>
    <row r="19" spans="2:12" ht="18" customHeight="1" x14ac:dyDescent="0.3">
      <c r="B19" s="124"/>
      <c r="C19" s="127"/>
      <c r="D19" s="130"/>
      <c r="E19" s="130"/>
      <c r="F19" s="135">
        <v>163758</v>
      </c>
      <c r="G19" s="133"/>
      <c r="H19" s="104" t="s">
        <v>17</v>
      </c>
      <c r="I19" s="99">
        <f>'Fraud Detection'!D10</f>
        <v>0.61986999999999992</v>
      </c>
      <c r="J19" s="96">
        <f>'Fraud Detection'!E10</f>
        <v>5.898386304744712E-2</v>
      </c>
      <c r="K19" s="7"/>
      <c r="L19" s="46">
        <f t="shared" si="1"/>
        <v>0</v>
      </c>
    </row>
    <row r="20" spans="2:12" ht="18" customHeight="1" x14ac:dyDescent="0.3">
      <c r="B20" s="124"/>
      <c r="C20" s="127"/>
      <c r="D20" s="130"/>
      <c r="E20" s="130"/>
      <c r="F20" s="136"/>
      <c r="G20" s="133"/>
      <c r="H20" s="16" t="s">
        <v>11</v>
      </c>
      <c r="I20" s="98">
        <f>'Fraud Detection'!D13</f>
        <v>1.0499999999999999E-3</v>
      </c>
      <c r="J20" s="14">
        <f>'Fraud Detection'!E13</f>
        <v>1.6278820596099706E-4</v>
      </c>
      <c r="K20" s="7"/>
      <c r="L20" s="45">
        <f t="shared" si="1"/>
        <v>589.35238095238094</v>
      </c>
    </row>
    <row r="21" spans="2:12" ht="18" customHeight="1" x14ac:dyDescent="0.3">
      <c r="B21" s="124"/>
      <c r="C21" s="127"/>
      <c r="D21" s="130"/>
      <c r="E21" s="130"/>
      <c r="F21" s="92" t="s">
        <v>0</v>
      </c>
      <c r="G21" s="133"/>
      <c r="H21" s="94" t="s">
        <v>5</v>
      </c>
      <c r="I21" s="98">
        <f>'Fraud Detection'!D11</f>
        <v>2.5850000000000001E-2</v>
      </c>
      <c r="J21" s="14">
        <f>'Fraud Detection'!E11</f>
        <v>3.5236891179557826E-2</v>
      </c>
      <c r="K21" s="5"/>
      <c r="L21" s="45">
        <f t="shared" si="1"/>
        <v>22.979497098646032</v>
      </c>
    </row>
    <row r="22" spans="2:12" ht="18" customHeight="1" thickBot="1" x14ac:dyDescent="0.35">
      <c r="B22" s="125"/>
      <c r="C22" s="128"/>
      <c r="D22" s="131"/>
      <c r="E22" s="131"/>
      <c r="F22" s="93" t="s">
        <v>0</v>
      </c>
      <c r="G22" s="134"/>
      <c r="H22" s="100" t="s">
        <v>1</v>
      </c>
      <c r="I22" s="113">
        <f>'Fraud Detection'!D12</f>
        <v>0.70480999999999994</v>
      </c>
      <c r="J22" s="95">
        <f>'Fraud Detection'!E12</f>
        <v>4.0313085964733583E-2</v>
      </c>
      <c r="K22" s="8"/>
      <c r="L22" s="56">
        <f t="shared" si="1"/>
        <v>-0.12051474865566614</v>
      </c>
    </row>
    <row r="23" spans="2:12" ht="18" customHeight="1" x14ac:dyDescent="0.3">
      <c r="B23" s="138" t="s">
        <v>22</v>
      </c>
      <c r="C23" s="127">
        <v>111419</v>
      </c>
      <c r="D23" s="130" t="s">
        <v>60</v>
      </c>
      <c r="E23" s="130" t="s">
        <v>16</v>
      </c>
      <c r="F23" s="112" t="s">
        <v>0</v>
      </c>
      <c r="G23" s="133">
        <v>200</v>
      </c>
      <c r="H23" s="106" t="s">
        <v>8</v>
      </c>
      <c r="I23" s="41">
        <f>Road_safety!C5</f>
        <v>0.5</v>
      </c>
      <c r="J23" s="39">
        <v>0</v>
      </c>
      <c r="K23" s="6"/>
      <c r="L23" s="51">
        <f t="shared" ref="L23:L28" si="2">$I$25/I23-1</f>
        <v>0.41923999999999984</v>
      </c>
    </row>
    <row r="24" spans="2:12" ht="16.8" x14ac:dyDescent="0.3">
      <c r="B24" s="124"/>
      <c r="C24" s="127"/>
      <c r="D24" s="130"/>
      <c r="E24" s="130"/>
      <c r="F24" s="92" t="s">
        <v>0</v>
      </c>
      <c r="G24" s="133"/>
      <c r="H24" s="13" t="s">
        <v>6</v>
      </c>
      <c r="I24" s="35">
        <f>Road_safety!D9</f>
        <v>0.65907000000000004</v>
      </c>
      <c r="J24" s="14">
        <f>Road_safety!E9</f>
        <v>2.799660693727024E-3</v>
      </c>
      <c r="K24" s="7"/>
      <c r="L24" s="55">
        <f t="shared" si="2"/>
        <v>7.669898493331484E-2</v>
      </c>
    </row>
    <row r="25" spans="2:12" ht="16.8" x14ac:dyDescent="0.3">
      <c r="B25" s="124"/>
      <c r="C25" s="127"/>
      <c r="D25" s="130"/>
      <c r="E25" s="130"/>
      <c r="F25" s="135">
        <v>111019</v>
      </c>
      <c r="G25" s="133"/>
      <c r="H25" s="102" t="s">
        <v>17</v>
      </c>
      <c r="I25" s="103">
        <f>Road_safety!D10</f>
        <v>0.70961999999999992</v>
      </c>
      <c r="J25" s="23">
        <f>Road_safety!E10</f>
        <v>1.5283965454030563E-2</v>
      </c>
      <c r="K25" s="7"/>
      <c r="L25" s="46">
        <f t="shared" si="2"/>
        <v>0</v>
      </c>
    </row>
    <row r="26" spans="2:12" ht="16.8" x14ac:dyDescent="0.3">
      <c r="B26" s="124"/>
      <c r="C26" s="127"/>
      <c r="D26" s="130"/>
      <c r="E26" s="130"/>
      <c r="F26" s="136"/>
      <c r="G26" s="133"/>
      <c r="H26" s="101" t="s">
        <v>11</v>
      </c>
      <c r="I26" s="35">
        <f>Road_safety!D13</f>
        <v>0.53082000000000007</v>
      </c>
      <c r="J26" s="14">
        <f>Road_safety!E13</f>
        <v>1.863806856946287E-2</v>
      </c>
      <c r="K26" s="7"/>
      <c r="L26" s="45">
        <f t="shared" si="2"/>
        <v>0.33683734599299164</v>
      </c>
    </row>
    <row r="27" spans="2:12" ht="16.5" customHeight="1" x14ac:dyDescent="0.3">
      <c r="B27" s="124"/>
      <c r="C27" s="127"/>
      <c r="D27" s="130"/>
      <c r="E27" s="130"/>
      <c r="F27" s="92" t="s">
        <v>0</v>
      </c>
      <c r="G27" s="133"/>
      <c r="H27" s="91" t="s">
        <v>5</v>
      </c>
      <c r="I27" s="35">
        <f>Road_safety!D11</f>
        <v>0.67523</v>
      </c>
      <c r="J27" s="14">
        <f>Road_safety!E11</f>
        <v>3.366930501213234E-2</v>
      </c>
      <c r="K27" s="5"/>
      <c r="L27" s="45">
        <f t="shared" si="2"/>
        <v>5.0930793951690312E-2</v>
      </c>
    </row>
    <row r="28" spans="2:12" ht="17.399999999999999" thickBot="1" x14ac:dyDescent="0.35">
      <c r="B28" s="125"/>
      <c r="C28" s="128"/>
      <c r="D28" s="131"/>
      <c r="E28" s="131"/>
      <c r="F28" s="93" t="s">
        <v>0</v>
      </c>
      <c r="G28" s="134"/>
      <c r="H28" s="21" t="s">
        <v>1</v>
      </c>
      <c r="I28" s="43">
        <f>Road_safety!D12</f>
        <v>0.69933000000000001</v>
      </c>
      <c r="J28" s="95">
        <f>Road_safety!E12</f>
        <v>1.1061017132253253E-2</v>
      </c>
      <c r="K28" s="8"/>
      <c r="L28" s="53">
        <f t="shared" si="2"/>
        <v>1.4714083479901996E-2</v>
      </c>
    </row>
    <row r="29" spans="2:12" ht="16.5" customHeight="1" x14ac:dyDescent="0.3">
      <c r="B29" s="123" t="s">
        <v>28</v>
      </c>
      <c r="C29" s="126">
        <v>72000</v>
      </c>
      <c r="D29" s="129" t="s">
        <v>60</v>
      </c>
      <c r="E29" s="129" t="s">
        <v>23</v>
      </c>
      <c r="F29" s="110" t="s">
        <v>0</v>
      </c>
      <c r="G29" s="132">
        <v>208</v>
      </c>
      <c r="H29" s="105" t="s">
        <v>8</v>
      </c>
      <c r="I29" s="41">
        <f>NIDS!C5</f>
        <v>0.48080000000000001</v>
      </c>
      <c r="J29" s="39">
        <v>0</v>
      </c>
      <c r="K29" s="6"/>
      <c r="L29" s="47">
        <f t="shared" ref="L29:L34" si="3">$I$31/I29-1</f>
        <v>1.0798668885191347</v>
      </c>
    </row>
    <row r="30" spans="2:12" ht="16.8" x14ac:dyDescent="0.3">
      <c r="B30" s="124"/>
      <c r="C30" s="127"/>
      <c r="D30" s="130"/>
      <c r="E30" s="130"/>
      <c r="F30" s="92" t="s">
        <v>0</v>
      </c>
      <c r="G30" s="133"/>
      <c r="H30" s="13" t="s">
        <v>6</v>
      </c>
      <c r="I30" s="35">
        <f>NIDS!D9</f>
        <v>0.97320999999999991</v>
      </c>
      <c r="J30" s="14">
        <f>NIDS!E9</f>
        <v>2.762046342840766E-3</v>
      </c>
      <c r="K30" s="7"/>
      <c r="L30" s="55">
        <f t="shared" si="3"/>
        <v>2.752746067138645E-2</v>
      </c>
    </row>
    <row r="31" spans="2:12" ht="16.8" x14ac:dyDescent="0.3">
      <c r="B31" s="124"/>
      <c r="C31" s="127"/>
      <c r="D31" s="130"/>
      <c r="E31" s="130"/>
      <c r="F31" s="135">
        <v>0</v>
      </c>
      <c r="G31" s="133"/>
      <c r="H31" s="102" t="s">
        <v>17</v>
      </c>
      <c r="I31" s="103">
        <f>NIDS!D10</f>
        <v>1</v>
      </c>
      <c r="J31" s="23">
        <f>NIDS!E10</f>
        <v>0</v>
      </c>
      <c r="K31" s="7"/>
      <c r="L31" s="46">
        <f t="shared" si="3"/>
        <v>0</v>
      </c>
    </row>
    <row r="32" spans="2:12" ht="16.8" x14ac:dyDescent="0.3">
      <c r="B32" s="124"/>
      <c r="C32" s="127"/>
      <c r="D32" s="130"/>
      <c r="E32" s="130"/>
      <c r="F32" s="136"/>
      <c r="G32" s="133"/>
      <c r="H32" s="101" t="s">
        <v>11</v>
      </c>
      <c r="I32" s="35">
        <f>NIDS!D13</f>
        <v>0.49529000000000006</v>
      </c>
      <c r="J32" s="14">
        <f>NIDS!E13</f>
        <v>6.9659664799652882E-2</v>
      </c>
      <c r="K32" s="7"/>
      <c r="L32" s="45">
        <f t="shared" si="3"/>
        <v>1.0190191604918328</v>
      </c>
    </row>
    <row r="33" spans="2:12" ht="16.8" x14ac:dyDescent="0.3">
      <c r="B33" s="124"/>
      <c r="C33" s="127"/>
      <c r="D33" s="130"/>
      <c r="E33" s="130"/>
      <c r="F33" s="92" t="s">
        <v>0</v>
      </c>
      <c r="G33" s="133"/>
      <c r="H33" s="91" t="s">
        <v>5</v>
      </c>
      <c r="I33" s="35">
        <f>NIDS!D11</f>
        <v>0.99770000000000003</v>
      </c>
      <c r="J33" s="14">
        <f>NIDS!E11</f>
        <v>1.1506519890914027E-3</v>
      </c>
      <c r="K33" s="5"/>
      <c r="L33" s="45">
        <f t="shared" si="3"/>
        <v>2.3053021950485419E-3</v>
      </c>
    </row>
    <row r="34" spans="2:12" ht="17.399999999999999" thickBot="1" x14ac:dyDescent="0.35">
      <c r="B34" s="125"/>
      <c r="C34" s="128"/>
      <c r="D34" s="131"/>
      <c r="E34" s="131"/>
      <c r="F34" s="93" t="s">
        <v>0</v>
      </c>
      <c r="G34" s="134"/>
      <c r="H34" s="21" t="s">
        <v>1</v>
      </c>
      <c r="I34" s="43">
        <f>NIDS!D12</f>
        <v>0.9986299999999998</v>
      </c>
      <c r="J34" s="95">
        <f>NIDS!E12</f>
        <v>1.8401358645491243E-3</v>
      </c>
      <c r="K34" s="8"/>
      <c r="L34" s="53">
        <f t="shared" si="3"/>
        <v>1.3718794748807106E-3</v>
      </c>
    </row>
    <row r="35" spans="2:12" ht="16.5" customHeight="1" x14ac:dyDescent="0.3">
      <c r="B35" s="123" t="s">
        <v>62</v>
      </c>
      <c r="C35" s="126" t="s">
        <v>63</v>
      </c>
      <c r="D35" s="129" t="s">
        <v>61</v>
      </c>
      <c r="E35" s="129" t="s">
        <v>16</v>
      </c>
      <c r="F35" s="110" t="s">
        <v>0</v>
      </c>
      <c r="G35" s="132">
        <v>200</v>
      </c>
      <c r="H35" s="105" t="s">
        <v>8</v>
      </c>
      <c r="I35" s="41">
        <f>Epsilon30!C5</f>
        <v>0.5</v>
      </c>
      <c r="J35" s="39">
        <v>0</v>
      </c>
      <c r="K35" s="6"/>
      <c r="L35" s="51">
        <f t="shared" ref="L35:L40" si="4">$I$37/I35-1</f>
        <v>0.14659999999999984</v>
      </c>
    </row>
    <row r="36" spans="2:12" ht="16.8" x14ac:dyDescent="0.3">
      <c r="B36" s="124"/>
      <c r="C36" s="127"/>
      <c r="D36" s="130"/>
      <c r="E36" s="130"/>
      <c r="F36" s="92" t="s">
        <v>0</v>
      </c>
      <c r="G36" s="133"/>
      <c r="H36" s="13" t="s">
        <v>6</v>
      </c>
      <c r="I36" s="35">
        <f>Epsilon30!D9</f>
        <v>0.55166999999999999</v>
      </c>
      <c r="J36" s="14">
        <f>Epsilon30!E9</f>
        <v>3.2177787369550544E-3</v>
      </c>
      <c r="K36" s="7"/>
      <c r="L36" s="55">
        <f t="shared" si="4"/>
        <v>3.9208222306813756E-2</v>
      </c>
    </row>
    <row r="37" spans="2:12" ht="16.8" x14ac:dyDescent="0.3">
      <c r="B37" s="124"/>
      <c r="C37" s="127"/>
      <c r="D37" s="130"/>
      <c r="E37" s="130"/>
      <c r="F37" s="135">
        <v>49600</v>
      </c>
      <c r="G37" s="133"/>
      <c r="H37" s="102" t="s">
        <v>17</v>
      </c>
      <c r="I37" s="103">
        <f>Epsilon30!D10</f>
        <v>0.57329999999999992</v>
      </c>
      <c r="J37" s="23">
        <f>Epsilon30!E10</f>
        <v>1.8746733048720786E-2</v>
      </c>
      <c r="K37" s="7"/>
      <c r="L37" s="46">
        <f t="shared" si="4"/>
        <v>0</v>
      </c>
    </row>
    <row r="38" spans="2:12" ht="16.8" x14ac:dyDescent="0.3">
      <c r="B38" s="124"/>
      <c r="C38" s="127"/>
      <c r="D38" s="130"/>
      <c r="E38" s="130"/>
      <c r="F38" s="136"/>
      <c r="G38" s="133"/>
      <c r="H38" s="101" t="s">
        <v>11</v>
      </c>
      <c r="I38" s="35">
        <f>Epsilon30!D13</f>
        <v>0.53466999999999998</v>
      </c>
      <c r="J38" s="14">
        <f>Epsilon30!E13</f>
        <v>1.5332582952653481E-2</v>
      </c>
      <c r="K38" s="7"/>
      <c r="L38" s="45">
        <f t="shared" si="4"/>
        <v>7.2250173003908902E-2</v>
      </c>
    </row>
    <row r="39" spans="2:12" ht="16.8" x14ac:dyDescent="0.3">
      <c r="B39" s="124"/>
      <c r="C39" s="127"/>
      <c r="D39" s="130"/>
      <c r="E39" s="130"/>
      <c r="F39" s="92" t="s">
        <v>0</v>
      </c>
      <c r="G39" s="133"/>
      <c r="H39" s="91" t="s">
        <v>5</v>
      </c>
      <c r="I39" s="35">
        <f>Epsilon30!D11</f>
        <v>0.54593000000000003</v>
      </c>
      <c r="J39" s="14">
        <f>Epsilon30!E11</f>
        <v>2.593303106079195E-2</v>
      </c>
      <c r="K39" s="5"/>
      <c r="L39" s="45">
        <f t="shared" si="4"/>
        <v>5.0134632645210786E-2</v>
      </c>
    </row>
    <row r="40" spans="2:12" ht="17.399999999999999" thickBot="1" x14ac:dyDescent="0.35">
      <c r="B40" s="125"/>
      <c r="C40" s="128"/>
      <c r="D40" s="131"/>
      <c r="E40" s="131"/>
      <c r="F40" s="93" t="s">
        <v>0</v>
      </c>
      <c r="G40" s="134"/>
      <c r="H40" s="21" t="s">
        <v>1</v>
      </c>
      <c r="I40" s="43">
        <f>Epsilon30!D12</f>
        <v>0.51490999999999998</v>
      </c>
      <c r="J40" s="95">
        <f>Epsilon30!E12</f>
        <v>2.7687522460487498E-2</v>
      </c>
      <c r="K40" s="8"/>
      <c r="L40" s="53">
        <f t="shared" si="4"/>
        <v>0.11339845798294834</v>
      </c>
    </row>
    <row r="41" spans="2:12" ht="16.5" customHeight="1" x14ac:dyDescent="0.3">
      <c r="B41" s="123" t="s">
        <v>20</v>
      </c>
      <c r="C41" s="126">
        <v>48785</v>
      </c>
      <c r="D41" s="129" t="s">
        <v>60</v>
      </c>
      <c r="E41" s="129" t="s">
        <v>21</v>
      </c>
      <c r="F41" s="110" t="s">
        <v>0</v>
      </c>
      <c r="G41" s="132">
        <v>622</v>
      </c>
      <c r="H41" s="105" t="s">
        <v>8</v>
      </c>
      <c r="I41" s="41">
        <f>Adult!C5</f>
        <v>0.1608</v>
      </c>
      <c r="J41" s="39">
        <v>0</v>
      </c>
      <c r="K41" s="6"/>
      <c r="L41" s="47">
        <f t="shared" ref="L41:L46" si="5">$I$43/I41-1</f>
        <v>2.3002487562189056</v>
      </c>
    </row>
    <row r="42" spans="2:12" ht="16.8" x14ac:dyDescent="0.3">
      <c r="B42" s="124"/>
      <c r="C42" s="127"/>
      <c r="D42" s="130"/>
      <c r="E42" s="130"/>
      <c r="F42" s="92" t="s">
        <v>0</v>
      </c>
      <c r="G42" s="133"/>
      <c r="H42" s="13" t="s">
        <v>6</v>
      </c>
      <c r="I42" s="35">
        <f>Adult!D9</f>
        <v>0.41048999999999997</v>
      </c>
      <c r="J42" s="14">
        <f>Adult!E9</f>
        <v>8.4127819417835689E-3</v>
      </c>
      <c r="K42" s="7"/>
      <c r="L42" s="55">
        <f t="shared" si="5"/>
        <v>0.29279641404175516</v>
      </c>
    </row>
    <row r="43" spans="2:12" ht="16.8" x14ac:dyDescent="0.3">
      <c r="B43" s="124"/>
      <c r="C43" s="127"/>
      <c r="D43" s="130"/>
      <c r="E43" s="130"/>
      <c r="F43" s="135">
        <v>47541</v>
      </c>
      <c r="G43" s="133"/>
      <c r="H43" s="102" t="s">
        <v>17</v>
      </c>
      <c r="I43" s="103">
        <f>Adult!D10</f>
        <v>0.53068000000000004</v>
      </c>
      <c r="J43" s="23">
        <f>Adult!E10</f>
        <v>1.7105835261687755E-2</v>
      </c>
      <c r="K43" s="7"/>
      <c r="L43" s="46">
        <f t="shared" si="5"/>
        <v>0</v>
      </c>
    </row>
    <row r="44" spans="2:12" ht="16.8" x14ac:dyDescent="0.3">
      <c r="B44" s="124"/>
      <c r="C44" s="127"/>
      <c r="D44" s="130"/>
      <c r="E44" s="130"/>
      <c r="F44" s="136"/>
      <c r="G44" s="133"/>
      <c r="H44" s="101" t="s">
        <v>11</v>
      </c>
      <c r="I44" s="35">
        <f>Adult!D13</f>
        <v>0.14564000000000002</v>
      </c>
      <c r="J44" s="14">
        <f>Adult!E13</f>
        <v>1.175739767125362E-2</v>
      </c>
      <c r="K44" s="7"/>
      <c r="L44" s="45">
        <f t="shared" si="5"/>
        <v>2.6437791815435316</v>
      </c>
    </row>
    <row r="45" spans="2:12" ht="16.8" x14ac:dyDescent="0.3">
      <c r="B45" s="124"/>
      <c r="C45" s="127"/>
      <c r="D45" s="130"/>
      <c r="E45" s="130"/>
      <c r="F45" s="92" t="s">
        <v>0</v>
      </c>
      <c r="G45" s="133"/>
      <c r="H45" s="91" t="s">
        <v>5</v>
      </c>
      <c r="I45" s="35">
        <f>Adult!D11</f>
        <v>0.37263000000000002</v>
      </c>
      <c r="J45" s="14">
        <f>Adult!E11</f>
        <v>1.6933165681584764E-2</v>
      </c>
      <c r="K45" s="5"/>
      <c r="L45" s="45">
        <f t="shared" si="5"/>
        <v>0.4241472774602153</v>
      </c>
    </row>
    <row r="46" spans="2:12" ht="17.399999999999999" thickBot="1" x14ac:dyDescent="0.35">
      <c r="B46" s="125"/>
      <c r="C46" s="128"/>
      <c r="D46" s="131"/>
      <c r="E46" s="131"/>
      <c r="F46" s="93" t="s">
        <v>0</v>
      </c>
      <c r="G46" s="134"/>
      <c r="H46" s="21" t="s">
        <v>1</v>
      </c>
      <c r="I46" s="42">
        <f>Adult!D12</f>
        <v>0.50624000000000002</v>
      </c>
      <c r="J46" s="26">
        <f>Adult!E12</f>
        <v>1.9672884892663816E-2</v>
      </c>
      <c r="K46" s="8"/>
      <c r="L46" s="52">
        <f t="shared" si="5"/>
        <v>4.8277496839443712E-2</v>
      </c>
    </row>
    <row r="47" spans="2:12" ht="16.5" customHeight="1" x14ac:dyDescent="0.3">
      <c r="B47" s="123" t="s">
        <v>24</v>
      </c>
      <c r="C47" s="126">
        <v>29944</v>
      </c>
      <c r="D47" s="129" t="s">
        <v>60</v>
      </c>
      <c r="E47" s="129" t="s">
        <v>25</v>
      </c>
      <c r="F47" s="110" t="s">
        <v>0</v>
      </c>
      <c r="G47" s="137">
        <v>452</v>
      </c>
      <c r="H47" s="105" t="s">
        <v>8</v>
      </c>
      <c r="I47" s="49">
        <f>'Card Default'!C5</f>
        <v>0.22120000000000001</v>
      </c>
      <c r="J47" s="50">
        <v>0</v>
      </c>
      <c r="K47" s="6"/>
      <c r="L47" s="47">
        <f>$I$49/I47-1</f>
        <v>1.3357594936708859</v>
      </c>
    </row>
    <row r="48" spans="2:12" ht="16.8" x14ac:dyDescent="0.3">
      <c r="B48" s="124"/>
      <c r="C48" s="127"/>
      <c r="D48" s="130"/>
      <c r="E48" s="130"/>
      <c r="F48" s="92" t="s">
        <v>0</v>
      </c>
      <c r="G48" s="133"/>
      <c r="H48" s="13" t="s">
        <v>6</v>
      </c>
      <c r="I48" s="35">
        <f>'Card Default'!D9</f>
        <v>0.36203000000000002</v>
      </c>
      <c r="J48" s="14">
        <f>'Card Default'!E9</f>
        <v>1.2039273233879186E-2</v>
      </c>
      <c r="K48" s="7"/>
      <c r="L48" s="55">
        <f t="shared" ref="L48:L52" si="6">$I$49/I48-1</f>
        <v>0.42714692152584033</v>
      </c>
    </row>
    <row r="49" spans="2:12" ht="16.8" x14ac:dyDescent="0.3">
      <c r="B49" s="124"/>
      <c r="C49" s="127"/>
      <c r="D49" s="130"/>
      <c r="E49" s="130"/>
      <c r="F49" s="135">
        <v>29040</v>
      </c>
      <c r="G49" s="133"/>
      <c r="H49" s="120" t="s">
        <v>17</v>
      </c>
      <c r="I49" s="121">
        <f>'Card Default'!D10</f>
        <v>0.51666999999999996</v>
      </c>
      <c r="J49" s="122">
        <f>'Card Default'!E10</f>
        <v>2.7509127576133708E-2</v>
      </c>
      <c r="K49" s="7"/>
      <c r="L49" s="46">
        <f t="shared" si="6"/>
        <v>0</v>
      </c>
    </row>
    <row r="50" spans="2:12" ht="16.8" x14ac:dyDescent="0.3">
      <c r="B50" s="124"/>
      <c r="C50" s="127"/>
      <c r="D50" s="130"/>
      <c r="E50" s="130"/>
      <c r="F50" s="136"/>
      <c r="G50" s="133"/>
      <c r="H50" s="101" t="s">
        <v>11</v>
      </c>
      <c r="I50" s="35">
        <f>'Card Default'!D13</f>
        <v>0.20615</v>
      </c>
      <c r="J50" s="14">
        <f>'Card Default'!E13</f>
        <v>1.0437935619652007E-2</v>
      </c>
      <c r="K50" s="7"/>
      <c r="L50" s="45">
        <f t="shared" si="6"/>
        <v>1.5062818336162986</v>
      </c>
    </row>
    <row r="51" spans="2:12" ht="16.8" x14ac:dyDescent="0.3">
      <c r="B51" s="124"/>
      <c r="C51" s="127"/>
      <c r="D51" s="130"/>
      <c r="E51" s="130"/>
      <c r="F51" s="92" t="s">
        <v>0</v>
      </c>
      <c r="G51" s="133"/>
      <c r="H51" s="91" t="s">
        <v>5</v>
      </c>
      <c r="I51" s="35">
        <f>'Card Default'!D11</f>
        <v>0.35104999999999997</v>
      </c>
      <c r="J51" s="14">
        <f>'Card Default'!E11</f>
        <v>1.9003960113618421E-2</v>
      </c>
      <c r="K51" s="5"/>
      <c r="L51" s="45">
        <f t="shared" si="6"/>
        <v>0.47178464606181447</v>
      </c>
    </row>
    <row r="52" spans="2:12" ht="17.399999999999999" thickBot="1" x14ac:dyDescent="0.35">
      <c r="B52" s="125"/>
      <c r="C52" s="128"/>
      <c r="D52" s="131"/>
      <c r="E52" s="131"/>
      <c r="F52" s="93" t="s">
        <v>0</v>
      </c>
      <c r="G52" s="134"/>
      <c r="H52" s="21" t="s">
        <v>1</v>
      </c>
      <c r="I52" s="42">
        <f>'Card Default'!D12</f>
        <v>0.53786</v>
      </c>
      <c r="J52" s="26">
        <f>'Card Default'!E12</f>
        <v>3.1181026282019651E-2</v>
      </c>
      <c r="K52" s="8"/>
      <c r="L52" s="56">
        <f t="shared" si="6"/>
        <v>-3.939686907373674E-2</v>
      </c>
    </row>
  </sheetData>
  <mergeCells count="53">
    <mergeCell ref="B2:G6"/>
    <mergeCell ref="I9:J9"/>
    <mergeCell ref="G11:G16"/>
    <mergeCell ref="F13:F14"/>
    <mergeCell ref="B9:E9"/>
    <mergeCell ref="F9:F10"/>
    <mergeCell ref="G9:H9"/>
    <mergeCell ref="H2:J2"/>
    <mergeCell ref="H3:J3"/>
    <mergeCell ref="H4:J4"/>
    <mergeCell ref="H5:J5"/>
    <mergeCell ref="I7:L7"/>
    <mergeCell ref="H6:J6"/>
    <mergeCell ref="B23:B28"/>
    <mergeCell ref="B11:B16"/>
    <mergeCell ref="C11:C16"/>
    <mergeCell ref="D11:D16"/>
    <mergeCell ref="E11:E16"/>
    <mergeCell ref="B17:B22"/>
    <mergeCell ref="C17:C22"/>
    <mergeCell ref="D17:D22"/>
    <mergeCell ref="E17:E22"/>
    <mergeCell ref="E35:E40"/>
    <mergeCell ref="B29:B34"/>
    <mergeCell ref="G17:G22"/>
    <mergeCell ref="F19:F20"/>
    <mergeCell ref="G35:G40"/>
    <mergeCell ref="F37:F38"/>
    <mergeCell ref="C23:C28"/>
    <mergeCell ref="D23:D28"/>
    <mergeCell ref="E23:E28"/>
    <mergeCell ref="G23:G28"/>
    <mergeCell ref="F25:F26"/>
    <mergeCell ref="C29:C34"/>
    <mergeCell ref="D29:D34"/>
    <mergeCell ref="E29:E34"/>
    <mergeCell ref="G29:G34"/>
    <mergeCell ref="F31:F32"/>
    <mergeCell ref="E41:E46"/>
    <mergeCell ref="G41:G46"/>
    <mergeCell ref="F43:F44"/>
    <mergeCell ref="B47:B52"/>
    <mergeCell ref="C47:C52"/>
    <mergeCell ref="D47:D52"/>
    <mergeCell ref="E47:E52"/>
    <mergeCell ref="G47:G52"/>
    <mergeCell ref="F49:F50"/>
    <mergeCell ref="B35:B40"/>
    <mergeCell ref="C35:C40"/>
    <mergeCell ref="B41:B46"/>
    <mergeCell ref="C41:C46"/>
    <mergeCell ref="D41:D46"/>
    <mergeCell ref="D35:D40"/>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1:N25"/>
  <sheetViews>
    <sheetView zoomScale="85" zoomScaleNormal="85" workbookViewId="0">
      <selection activeCell="C7" sqref="C7:K7"/>
    </sheetView>
  </sheetViews>
  <sheetFormatPr defaultRowHeight="14.4" x14ac:dyDescent="0.3"/>
  <cols>
    <col min="1" max="1" width="4.5546875" customWidth="1"/>
    <col min="2" max="2" width="75.44140625" customWidth="1"/>
    <col min="3" max="4" width="10.5546875" customWidth="1"/>
    <col min="5" max="11" width="16.109375" style="57" customWidth="1"/>
    <col min="12" max="12" width="3.33203125" style="57" customWidth="1"/>
    <col min="13" max="13" width="16" style="57" bestFit="1" customWidth="1"/>
    <col min="14" max="14" width="9.109375" style="57"/>
  </cols>
  <sheetData>
    <row r="1" spans="2:14" s="24" customFormat="1" ht="27" customHeight="1" x14ac:dyDescent="0.3">
      <c r="C1" s="163" t="s">
        <v>17</v>
      </c>
      <c r="D1" s="163"/>
      <c r="E1" s="142" t="s">
        <v>14</v>
      </c>
      <c r="F1" s="142"/>
      <c r="G1" s="142"/>
      <c r="H1" s="142"/>
      <c r="I1" s="142"/>
      <c r="J1" s="142"/>
      <c r="K1" s="142"/>
      <c r="L1" s="57"/>
      <c r="M1" s="57"/>
      <c r="N1" s="57"/>
    </row>
    <row r="2" spans="2:14" ht="31.5" customHeight="1" x14ac:dyDescent="0.3">
      <c r="B2" s="73" t="s">
        <v>32</v>
      </c>
      <c r="C2" s="69" t="s">
        <v>29</v>
      </c>
      <c r="D2" s="69" t="s">
        <v>30</v>
      </c>
      <c r="E2" s="70" t="s">
        <v>12</v>
      </c>
      <c r="F2" s="70" t="s">
        <v>26</v>
      </c>
      <c r="G2" s="70" t="s">
        <v>22</v>
      </c>
      <c r="H2" s="70" t="s">
        <v>28</v>
      </c>
      <c r="I2" s="70" t="s">
        <v>18</v>
      </c>
      <c r="J2" s="70" t="s">
        <v>20</v>
      </c>
      <c r="K2" s="70" t="s">
        <v>24</v>
      </c>
    </row>
    <row r="3" spans="2:14" ht="18.75" customHeight="1" x14ac:dyDescent="0.3">
      <c r="B3" s="71" t="s">
        <v>37</v>
      </c>
      <c r="C3" s="89" t="s">
        <v>33</v>
      </c>
      <c r="D3" s="89" t="s">
        <v>33</v>
      </c>
      <c r="E3" s="77">
        <f>BAF!D10</f>
        <v>0.13520000000000001</v>
      </c>
      <c r="F3" s="77">
        <f>'Fraud Detection'!D10</f>
        <v>0.61986999999999992</v>
      </c>
      <c r="G3" s="77">
        <f>Road_safety!D10</f>
        <v>0.70961999999999992</v>
      </c>
      <c r="H3" s="77">
        <f>NIDS!D10</f>
        <v>1</v>
      </c>
      <c r="I3" s="77">
        <f>Epsilon30!D10</f>
        <v>0.57329999999999992</v>
      </c>
      <c r="J3" s="77">
        <f>Adult!D10</f>
        <v>0.53068000000000004</v>
      </c>
      <c r="K3" s="77">
        <f>'Card Default'!D10</f>
        <v>0.51666999999999996</v>
      </c>
    </row>
    <row r="4" spans="2:14" ht="18.75" customHeight="1" x14ac:dyDescent="0.3">
      <c r="B4" s="71" t="s">
        <v>38</v>
      </c>
      <c r="C4" s="90" t="s">
        <v>34</v>
      </c>
      <c r="D4" s="89" t="s">
        <v>33</v>
      </c>
      <c r="E4" s="58">
        <f>BAF!D18</f>
        <v>0.13191</v>
      </c>
      <c r="F4" s="58">
        <f>'Fraud Detection'!D18</f>
        <v>0.59619999999999995</v>
      </c>
      <c r="G4" s="58">
        <f>Road_safety!D18</f>
        <v>0.69868000000000019</v>
      </c>
      <c r="H4" s="58">
        <f>NIDS!D18</f>
        <v>1</v>
      </c>
      <c r="I4" s="58">
        <f>Epsilon30!D18</f>
        <v>0.57770999999999995</v>
      </c>
      <c r="J4" s="58">
        <f>Adult!D18</f>
        <v>0.53240999999999994</v>
      </c>
      <c r="K4" s="58">
        <f>'Card Default'!D18</f>
        <v>0.51004000000000005</v>
      </c>
    </row>
    <row r="5" spans="2:14" ht="18.75" customHeight="1" x14ac:dyDescent="0.3">
      <c r="B5" s="71" t="s">
        <v>39</v>
      </c>
      <c r="C5" s="89" t="s">
        <v>33</v>
      </c>
      <c r="D5" s="90" t="s">
        <v>34</v>
      </c>
      <c r="E5" s="58">
        <f>BAF!D26</f>
        <v>0.14487999999999998</v>
      </c>
      <c r="F5" s="58">
        <f>'Fraud Detection'!D26</f>
        <v>0.59010999999999991</v>
      </c>
      <c r="G5" s="58">
        <f>Road_safety!D26</f>
        <v>0.70235000000000014</v>
      </c>
      <c r="H5" s="58">
        <f>NIDS!D26</f>
        <v>1</v>
      </c>
      <c r="I5" s="58">
        <f>Epsilon30!D26</f>
        <v>0.56394999999999995</v>
      </c>
      <c r="J5" s="58">
        <f>Adult!D26</f>
        <v>0.5382300000000001</v>
      </c>
      <c r="K5" s="58">
        <f>'Card Default'!D26</f>
        <v>0.50336000000000003</v>
      </c>
    </row>
    <row r="6" spans="2:14" ht="18.75" customHeight="1" x14ac:dyDescent="0.3">
      <c r="B6" s="74" t="s">
        <v>40</v>
      </c>
      <c r="C6" s="90" t="s">
        <v>34</v>
      </c>
      <c r="D6" s="90" t="s">
        <v>34</v>
      </c>
      <c r="E6" s="58">
        <f>BAF!D34</f>
        <v>0.14443</v>
      </c>
      <c r="F6" s="58">
        <f>'Fraud Detection'!D34</f>
        <v>0.57030999999999987</v>
      </c>
      <c r="G6" s="58">
        <f>Road_safety!D34</f>
        <v>0.70989000000000002</v>
      </c>
      <c r="H6" s="58">
        <f>NIDS!D34</f>
        <v>1</v>
      </c>
      <c r="I6" s="58">
        <f>Epsilon30!D34</f>
        <v>0.55797999999999992</v>
      </c>
      <c r="J6" s="58">
        <f>Adult!D34</f>
        <v>0.52528000000000008</v>
      </c>
      <c r="K6" s="58">
        <f>'Card Default'!D34</f>
        <v>0.50502999999999987</v>
      </c>
    </row>
    <row r="7" spans="2:14" ht="18.75" customHeight="1" x14ac:dyDescent="0.3">
      <c r="B7" s="28"/>
      <c r="C7" s="160" t="s">
        <v>35</v>
      </c>
      <c r="D7" s="160"/>
      <c r="E7" s="160"/>
      <c r="F7" s="160"/>
      <c r="G7" s="160"/>
      <c r="H7" s="160"/>
      <c r="I7" s="160"/>
      <c r="J7" s="160"/>
      <c r="K7" s="160"/>
    </row>
    <row r="8" spans="2:14" ht="18" customHeight="1" x14ac:dyDescent="0.3">
      <c r="B8" s="161" t="s">
        <v>48</v>
      </c>
      <c r="C8" s="90" t="s">
        <v>34</v>
      </c>
      <c r="D8" s="89" t="s">
        <v>33</v>
      </c>
      <c r="E8" s="60">
        <f t="shared" ref="E8:K10" si="0">E4-E$3</f>
        <v>-3.2900000000000151E-3</v>
      </c>
      <c r="F8" s="60">
        <f t="shared" si="0"/>
        <v>-2.3669999999999969E-2</v>
      </c>
      <c r="G8" s="60">
        <f t="shared" si="0"/>
        <v>-1.0939999999999728E-2</v>
      </c>
      <c r="H8" s="60">
        <f t="shared" si="0"/>
        <v>0</v>
      </c>
      <c r="I8" s="60">
        <f t="shared" si="0"/>
        <v>4.410000000000025E-3</v>
      </c>
      <c r="J8" s="60">
        <f t="shared" si="0"/>
        <v>1.7299999999998983E-3</v>
      </c>
      <c r="K8" s="60">
        <f t="shared" si="0"/>
        <v>-6.6299999999999137E-3</v>
      </c>
    </row>
    <row r="9" spans="2:14" ht="18" customHeight="1" x14ac:dyDescent="0.3">
      <c r="B9" s="162"/>
      <c r="C9" s="89" t="s">
        <v>33</v>
      </c>
      <c r="D9" s="90" t="s">
        <v>34</v>
      </c>
      <c r="E9" s="60">
        <f t="shared" si="0"/>
        <v>9.6799999999999664E-3</v>
      </c>
      <c r="F9" s="60">
        <f t="shared" si="0"/>
        <v>-2.9760000000000009E-2</v>
      </c>
      <c r="G9" s="60">
        <f t="shared" si="0"/>
        <v>-7.2699999999997766E-3</v>
      </c>
      <c r="H9" s="60">
        <f t="shared" si="0"/>
        <v>0</v>
      </c>
      <c r="I9" s="60">
        <f t="shared" si="0"/>
        <v>-9.3499999999999694E-3</v>
      </c>
      <c r="J9" s="60">
        <f t="shared" si="0"/>
        <v>7.5500000000000567E-3</v>
      </c>
      <c r="K9" s="60">
        <f t="shared" si="0"/>
        <v>-1.3309999999999933E-2</v>
      </c>
    </row>
    <row r="10" spans="2:14" ht="18" customHeight="1" x14ac:dyDescent="0.3">
      <c r="B10" s="162"/>
      <c r="C10" s="90" t="s">
        <v>34</v>
      </c>
      <c r="D10" s="90" t="s">
        <v>34</v>
      </c>
      <c r="E10" s="60">
        <f t="shared" si="0"/>
        <v>9.2299999999999882E-3</v>
      </c>
      <c r="F10" s="60">
        <f t="shared" si="0"/>
        <v>-4.9560000000000048E-2</v>
      </c>
      <c r="G10" s="60">
        <f t="shared" si="0"/>
        <v>2.7000000000010349E-4</v>
      </c>
      <c r="H10" s="60">
        <f t="shared" si="0"/>
        <v>0</v>
      </c>
      <c r="I10" s="60">
        <f t="shared" si="0"/>
        <v>-1.532E-2</v>
      </c>
      <c r="J10" s="60">
        <f t="shared" si="0"/>
        <v>-5.3999999999999604E-3</v>
      </c>
      <c r="K10" s="60">
        <f t="shared" si="0"/>
        <v>-1.1640000000000095E-2</v>
      </c>
    </row>
    <row r="11" spans="2:14" ht="18" customHeight="1" x14ac:dyDescent="0.3">
      <c r="B11" s="162"/>
      <c r="C11" s="160" t="s">
        <v>36</v>
      </c>
      <c r="D11" s="160"/>
      <c r="E11" s="160"/>
      <c r="F11" s="160"/>
      <c r="G11" s="160"/>
      <c r="H11" s="160"/>
      <c r="I11" s="160"/>
      <c r="J11" s="160"/>
      <c r="K11" s="160"/>
    </row>
    <row r="12" spans="2:14" ht="18" customHeight="1" x14ac:dyDescent="0.3">
      <c r="B12" s="162"/>
      <c r="C12" s="90" t="s">
        <v>34</v>
      </c>
      <c r="D12" s="89" t="s">
        <v>33</v>
      </c>
      <c r="E12" s="59">
        <f t="shared" ref="E12:K14" si="1">E4/E$3-1</f>
        <v>-2.4334319526627346E-2</v>
      </c>
      <c r="F12" s="59">
        <f t="shared" si="1"/>
        <v>-3.8185425976414389E-2</v>
      </c>
      <c r="G12" s="59">
        <f t="shared" si="1"/>
        <v>-1.5416701896789453E-2</v>
      </c>
      <c r="H12" s="59">
        <f t="shared" si="1"/>
        <v>0</v>
      </c>
      <c r="I12" s="59">
        <f t="shared" si="1"/>
        <v>7.692307692307665E-3</v>
      </c>
      <c r="J12" s="59">
        <f t="shared" si="1"/>
        <v>3.2599683425038606E-3</v>
      </c>
      <c r="K12" s="59">
        <f t="shared" si="1"/>
        <v>-1.2832175276288327E-2</v>
      </c>
      <c r="M12" s="61"/>
    </row>
    <row r="13" spans="2:14" ht="18" customHeight="1" x14ac:dyDescent="0.3">
      <c r="B13" s="162"/>
      <c r="C13" s="89" t="s">
        <v>33</v>
      </c>
      <c r="D13" s="90" t="s">
        <v>34</v>
      </c>
      <c r="E13" s="59">
        <f t="shared" si="1"/>
        <v>7.1597633136094352E-2</v>
      </c>
      <c r="F13" s="59">
        <f t="shared" si="1"/>
        <v>-4.8010066626873349E-2</v>
      </c>
      <c r="G13" s="59">
        <f t="shared" si="1"/>
        <v>-1.0244919816239317E-2</v>
      </c>
      <c r="H13" s="59">
        <f t="shared" si="1"/>
        <v>0</v>
      </c>
      <c r="I13" s="59">
        <f t="shared" si="1"/>
        <v>-1.6309087737659156E-2</v>
      </c>
      <c r="J13" s="59">
        <f t="shared" si="1"/>
        <v>1.4227029471621355E-2</v>
      </c>
      <c r="K13" s="59">
        <f t="shared" si="1"/>
        <v>-2.5761124121779777E-2</v>
      </c>
    </row>
    <row r="14" spans="2:14" x14ac:dyDescent="0.3">
      <c r="B14" s="162"/>
      <c r="C14" s="90" t="s">
        <v>34</v>
      </c>
      <c r="D14" s="90" t="s">
        <v>34</v>
      </c>
      <c r="E14" s="59">
        <f t="shared" si="1"/>
        <v>6.8269230769230749E-2</v>
      </c>
      <c r="F14" s="59">
        <f t="shared" si="1"/>
        <v>-7.9952248052010955E-2</v>
      </c>
      <c r="G14" s="59">
        <f t="shared" si="1"/>
        <v>3.8048533017676078E-4</v>
      </c>
      <c r="H14" s="59">
        <f t="shared" si="1"/>
        <v>0</v>
      </c>
      <c r="I14" s="59">
        <f t="shared" si="1"/>
        <v>-2.672248386534104E-2</v>
      </c>
      <c r="J14" s="59">
        <f t="shared" si="1"/>
        <v>-1.0175623728046923E-2</v>
      </c>
      <c r="K14" s="59">
        <f t="shared" si="1"/>
        <v>-2.252888691040722E-2</v>
      </c>
    </row>
    <row r="15" spans="2:14" x14ac:dyDescent="0.3">
      <c r="B15" s="66"/>
    </row>
    <row r="16" spans="2:14" ht="18" x14ac:dyDescent="0.35">
      <c r="B16" s="72"/>
      <c r="C16" s="67"/>
      <c r="D16" s="67"/>
      <c r="E16" s="68"/>
    </row>
    <row r="17" ht="16.5" customHeight="1" x14ac:dyDescent="0.3"/>
    <row r="19" ht="16.5" customHeight="1" x14ac:dyDescent="0.3"/>
    <row r="25" ht="16.5" customHeight="1" x14ac:dyDescent="0.3"/>
  </sheetData>
  <mergeCells count="5">
    <mergeCell ref="E1:K1"/>
    <mergeCell ref="C7:K7"/>
    <mergeCell ref="C11:K11"/>
    <mergeCell ref="B8:B14"/>
    <mergeCell ref="C1:D1"/>
  </mergeCells>
  <conditionalFormatting sqref="E12:K14">
    <cfRule type="cellIs" dxfId="1" priority="1" operator="greaterThan">
      <formula>0.01</formula>
    </cfRule>
    <cfRule type="cellIs" dxfId="0" priority="2" operator="lessThan">
      <formula>-0.01</formula>
    </cfRule>
  </conditionalFormatting>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C5FD-98F2-44DF-8BB7-8A275C38C9A1}">
  <sheetPr>
    <tabColor theme="0"/>
  </sheetPr>
  <dimension ref="A1"/>
  <sheetViews>
    <sheetView workbookViewId="0">
      <selection activeCell="E14" sqref="E14"/>
    </sheetView>
  </sheetViews>
  <sheetFormatPr defaultRowHeight="14.4" x14ac:dyDescent="0.3"/>
  <sheetData>
    <row r="1" spans="1:1" x14ac:dyDescent="0.3">
      <c r="A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37"/>
  <sheetViews>
    <sheetView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26.4" customHeight="1" x14ac:dyDescent="0.3">
      <c r="B2" s="164" t="s">
        <v>52</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51" customHeight="1" x14ac:dyDescent="0.3">
      <c r="B3" s="164" t="s">
        <v>49</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1.0999999999999999E-2</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0.53653824298215724</v>
      </c>
      <c r="D9" s="29">
        <f>(N9+R9+V9+Z9+AD9+AH9+AL9+AP9+AT9+AX9)/10</f>
        <v>8.7989999999999999E-2</v>
      </c>
      <c r="E9" s="29">
        <f>SQRT(((N9-D9)^2+(R9-D9)^2+(V9-D9)^2+(Z9-D9)^2+(AD9-D9)^2+(AH9-D9)^2+(AL9-D9)^2+(AP9-D9)^2+(AT9-D9)^2+(AX9-D9)^2)/10)</f>
        <v>1.3087780560507569E-3</v>
      </c>
      <c r="F9" s="79">
        <f>E9/D9</f>
        <v>1.4874168156049063E-2</v>
      </c>
      <c r="G9" s="15">
        <f>(O9+S9+W9+AA9+AE9+AI9+AM9+AQ9+AU9+AY9)/10</f>
        <v>0.79500000000000004</v>
      </c>
      <c r="H9" s="25">
        <f>SQRT(((O9-G9)^2+(S9-G9)^2+(W9-G9)^2+(AA9-G9)^2+(AE9-G9)^2+(AI9-G9)^2+(AM9-G9)^2+(AQ9-G9)^2+(AU9-G9)^2+(AY9-G9)^2)/10)</f>
        <v>9.2195444572928959E-3</v>
      </c>
      <c r="I9" s="31">
        <f>H9/G9</f>
        <v>1.1596911267035088E-2</v>
      </c>
      <c r="J9" s="25">
        <f>(P9+T9+X9+AB9+AF9+AJ9+AN9+AR9+AV9+AZ9)/10</f>
        <v>7.2040000000000007E-2</v>
      </c>
      <c r="K9" s="25">
        <f>SQRT(((P9-J9)^2+(T9-J9)^2+(X9-J9)^2+(AB9-J9)^2+(AF9-J9)^2+(AJ9-J9)^2+(AN9-J9)^2+(AR9-J9)^2+(AV9-J9)^2+(AZ9-J9)^2)/10)</f>
        <v>8.1264998615639887E-4</v>
      </c>
      <c r="L9" s="31">
        <f>K9/J9</f>
        <v>1.1280538397506925E-2</v>
      </c>
      <c r="N9" s="75">
        <v>8.6900000000000005E-2</v>
      </c>
      <c r="O9" s="81">
        <v>0.8</v>
      </c>
      <c r="P9" s="25">
        <v>7.2599999999999998E-2</v>
      </c>
      <c r="R9" s="75">
        <v>8.6800000000000002E-2</v>
      </c>
      <c r="S9" s="81">
        <v>0.8</v>
      </c>
      <c r="T9" s="25">
        <v>7.2499999999999995E-2</v>
      </c>
      <c r="V9" s="75">
        <v>8.6900000000000005E-2</v>
      </c>
      <c r="W9" s="81">
        <v>0.8</v>
      </c>
      <c r="X9" s="25">
        <v>7.2599999999999998E-2</v>
      </c>
      <c r="Z9" s="75">
        <v>9.0200000000000002E-2</v>
      </c>
      <c r="AA9" s="81">
        <v>0.77</v>
      </c>
      <c r="AB9" s="25">
        <v>7.0000000000000007E-2</v>
      </c>
      <c r="AD9" s="75">
        <v>8.9700000000000002E-2</v>
      </c>
      <c r="AE9" s="81">
        <v>0.79</v>
      </c>
      <c r="AF9" s="25">
        <v>7.1400000000000005E-2</v>
      </c>
      <c r="AH9" s="75">
        <v>8.6800000000000002E-2</v>
      </c>
      <c r="AI9" s="81">
        <v>0.8</v>
      </c>
      <c r="AJ9" s="25">
        <v>7.2499999999999995E-2</v>
      </c>
      <c r="AL9" s="75">
        <v>8.6900000000000005E-2</v>
      </c>
      <c r="AM9" s="81">
        <v>0.8</v>
      </c>
      <c r="AN9" s="25">
        <v>7.2599999999999998E-2</v>
      </c>
      <c r="AP9" s="75">
        <v>8.7999999999999995E-2</v>
      </c>
      <c r="AQ9" s="81">
        <v>0.8</v>
      </c>
      <c r="AR9" s="25">
        <v>7.2400000000000006E-2</v>
      </c>
      <c r="AT9" s="75">
        <v>8.9700000000000002E-2</v>
      </c>
      <c r="AU9" s="81">
        <v>0.79</v>
      </c>
      <c r="AV9" s="25">
        <v>7.1400000000000005E-2</v>
      </c>
      <c r="AX9" s="75">
        <v>8.7999999999999995E-2</v>
      </c>
      <c r="AY9" s="81">
        <v>0.8</v>
      </c>
      <c r="AZ9" s="25">
        <v>7.2400000000000006E-2</v>
      </c>
    </row>
    <row r="10" spans="1:52" ht="37.799999999999997" customHeight="1" x14ac:dyDescent="0.3">
      <c r="A10" s="7"/>
      <c r="B10" s="86" t="s">
        <v>17</v>
      </c>
      <c r="C10" s="80"/>
      <c r="D10" s="29">
        <f>(N10+R10+V10+Z10+AD10+AH10+AL10+AP10+AT10+AX10)/10</f>
        <v>0.13520000000000001</v>
      </c>
      <c r="E10" s="29">
        <f>SQRT(((N10-D10)^2+(R10-D10)^2+(V10-D10)^2+(Z10-D10)^2+(AD10-D10)^2+(AH10-D10)^2+(AL10-D10)^2+(AP10-D10)^2+(AT10-D10)^2+(AX10-D10)^2)/10)</f>
        <v>1.3713861600585008E-2</v>
      </c>
      <c r="F10" s="79">
        <f>E10/D10</f>
        <v>0.10143388757829147</v>
      </c>
      <c r="G10" s="15">
        <f>(O10+S10+W10+AA10+AE10+AI10+AM10+AQ10+AU10+AY10)/10</f>
        <v>0.76600000000000001</v>
      </c>
      <c r="H10" s="25">
        <f>SQRT(((O10-G10)^2+(S10-G10)^2+(W10-G10)^2+(AA10-G10)^2+(AE10-G10)^2+(AI10-G10)^2+(AM10-G10)^2+(AQ10-G10)^2+(AU10-G10)^2+(AY10-G10)^2)/10)</f>
        <v>2.6907248094147445E-2</v>
      </c>
      <c r="I10" s="62">
        <f>H10/G10</f>
        <v>3.5126955736484916E-2</v>
      </c>
      <c r="J10" s="25">
        <f>(P10+T10+X10+AB10+AF10+AJ10+AN10+AR10+AV10+AZ10)/10</f>
        <v>8.4820000000000007E-2</v>
      </c>
      <c r="K10" s="25">
        <f>SQRT(((P10-J10)^2+(T10-J10)^2+(X10-J10)^2+(AB10-J10)^2+(AF10-J10)^2+(AJ10-J10)^2+(AN10-J10)^2+(AR10-J10)^2+(AV10-J10)^2+(AZ10-J10)^2)/10)</f>
        <v>2.3055585006674633E-3</v>
      </c>
      <c r="L10" s="62">
        <f>K10/J10</f>
        <v>2.7181779069411261E-2</v>
      </c>
      <c r="N10" s="75">
        <v>0.14599999999999999</v>
      </c>
      <c r="O10" s="25">
        <v>0.75</v>
      </c>
      <c r="P10" s="25">
        <v>8.4400000000000003E-2</v>
      </c>
      <c r="R10" s="75">
        <v>0.12920000000000001</v>
      </c>
      <c r="S10" s="81">
        <v>0.76</v>
      </c>
      <c r="T10" s="25">
        <v>8.1900000000000001E-2</v>
      </c>
      <c r="V10" s="75">
        <v>0.1237</v>
      </c>
      <c r="W10" s="81">
        <v>0.79</v>
      </c>
      <c r="X10" s="25">
        <v>8.7900000000000006E-2</v>
      </c>
      <c r="Z10" s="75">
        <v>0.14269999999999999</v>
      </c>
      <c r="AA10" s="81">
        <v>0.8</v>
      </c>
      <c r="AB10" s="25">
        <v>8.4400000000000003E-2</v>
      </c>
      <c r="AD10" s="75">
        <v>0.1605</v>
      </c>
      <c r="AE10" s="81">
        <v>0.79</v>
      </c>
      <c r="AF10" s="25">
        <v>8.5400000000000004E-2</v>
      </c>
      <c r="AH10" s="75">
        <v>0.14649999999999999</v>
      </c>
      <c r="AI10" s="81">
        <v>0.78</v>
      </c>
      <c r="AJ10" s="25">
        <v>8.6900000000000005E-2</v>
      </c>
      <c r="AL10" s="75">
        <v>0.1167</v>
      </c>
      <c r="AM10" s="81">
        <v>0.72</v>
      </c>
      <c r="AN10" s="25">
        <v>8.3400000000000002E-2</v>
      </c>
      <c r="AP10" s="75">
        <v>0.11559999999999999</v>
      </c>
      <c r="AQ10" s="81">
        <v>0.77</v>
      </c>
      <c r="AR10" s="25">
        <v>8.5999999999999993E-2</v>
      </c>
      <c r="AT10" s="75">
        <v>0.14030000000000001</v>
      </c>
      <c r="AU10" s="81">
        <v>0.78</v>
      </c>
      <c r="AV10" s="25">
        <v>8.7499999999999994E-2</v>
      </c>
      <c r="AX10" s="75">
        <v>0.1308</v>
      </c>
      <c r="AY10" s="81">
        <v>0.72</v>
      </c>
      <c r="AZ10" s="25">
        <v>8.0399999999999999E-2</v>
      </c>
    </row>
    <row r="11" spans="1:52" ht="18" customHeight="1" x14ac:dyDescent="0.3">
      <c r="A11" s="7"/>
      <c r="B11" s="86" t="s">
        <v>5</v>
      </c>
      <c r="C11" s="78">
        <f>D10/D11-1</f>
        <v>0.87231685362138234</v>
      </c>
      <c r="D11" s="29">
        <f>(N11+R11+V11+Z11+AD11+AH11+AL11+AP11+AT11+AX11)/10</f>
        <v>7.2209999999999996E-2</v>
      </c>
      <c r="E11" s="29">
        <f>SQRT(((N11-D11)^2+(R11-D11)^2+(V11-D11)^2+(Z11-D11)^2+(AD11-D11)^2+(AH11-D11)^2+(AL11-D11)^2+(AP11-D11)^2+(AT11-D11)^2+(AX11-D11)^2)/10)</f>
        <v>2.8507207860469258E-2</v>
      </c>
      <c r="F11" s="79">
        <f>E11/D11</f>
        <v>0.39478199502103944</v>
      </c>
      <c r="G11" s="15">
        <f>(O11+S11+W11+AA11+AE11+AI11+AM11+AQ11+AU11+AY11)/10</f>
        <v>0.32600000000000001</v>
      </c>
      <c r="H11" s="25">
        <f>SQRT(((O11-G11)^2+(S11-G11)^2+(W11-G11)^2+(AA11-G11)^2+(AE11-G11)^2+(AI11-G11)^2+(AM11-G11)^2+(AQ11-G11)^2+(AU11-G11)^2+(AY11-G11)^2)/10)</f>
        <v>0.3658469625403496</v>
      </c>
      <c r="I11" s="31">
        <f>H11/G11</f>
        <v>1.1222299464427901</v>
      </c>
      <c r="J11" s="25">
        <f>(P11+T11+X11+AB11+AF11+AJ11+AN11+AR11+AV11+AZ11)/10</f>
        <v>6.7970000000000003E-2</v>
      </c>
      <c r="K11" s="25">
        <f>SQRT(((P11-J11)^2+(T11-J11)^2+(X11-J11)^2+(AB11-J11)^2+(AF11-J11)^2+(AJ11-J11)^2+(AN11-J11)^2+(AR11-J11)^2+(AV11-J11)^2+(AZ11-J11)^2)/10)</f>
        <v>6.1533926414621062E-2</v>
      </c>
      <c r="L11" s="31">
        <f>K11/J11</f>
        <v>0.90531008407563718</v>
      </c>
      <c r="N11" s="75">
        <v>0.10199999999999999</v>
      </c>
      <c r="O11" s="25">
        <v>1</v>
      </c>
      <c r="P11" s="25">
        <v>2.18E-2</v>
      </c>
      <c r="R11" s="75">
        <v>0.12820000000000001</v>
      </c>
      <c r="S11" s="81">
        <v>1</v>
      </c>
      <c r="T11" s="82">
        <v>2.18E-2</v>
      </c>
      <c r="V11" s="75">
        <v>6.6900000000000001E-2</v>
      </c>
      <c r="W11" s="81">
        <v>0</v>
      </c>
      <c r="X11" s="82">
        <v>0</v>
      </c>
      <c r="Z11" s="75">
        <v>7.3899999999999993E-2</v>
      </c>
      <c r="AA11" s="81">
        <v>0.43</v>
      </c>
      <c r="AB11" s="82">
        <v>0.1004</v>
      </c>
      <c r="AD11" s="75">
        <v>6.88E-2</v>
      </c>
      <c r="AE11" s="81">
        <v>0</v>
      </c>
      <c r="AF11" s="82">
        <v>0</v>
      </c>
      <c r="AH11" s="75">
        <v>8.6400000000000005E-2</v>
      </c>
      <c r="AI11" s="81">
        <v>0.12</v>
      </c>
      <c r="AJ11" s="82">
        <v>0.15579999999999999</v>
      </c>
      <c r="AL11" s="75">
        <v>5.9700000000000003E-2</v>
      </c>
      <c r="AM11" s="81">
        <v>0.11</v>
      </c>
      <c r="AN11" s="82">
        <v>0.10580000000000001</v>
      </c>
      <c r="AP11" s="75">
        <v>6.2399999999999997E-2</v>
      </c>
      <c r="AQ11" s="81">
        <v>0.23</v>
      </c>
      <c r="AR11" s="82">
        <v>0.13730000000000001</v>
      </c>
      <c r="AT11" s="75">
        <v>1.3299999999999999E-2</v>
      </c>
      <c r="AU11" s="81">
        <v>0</v>
      </c>
      <c r="AV11" s="82">
        <v>0</v>
      </c>
      <c r="AX11" s="75">
        <v>6.0499999999999998E-2</v>
      </c>
      <c r="AY11" s="81">
        <v>0.37</v>
      </c>
      <c r="AZ11" s="82">
        <v>0.1368</v>
      </c>
    </row>
    <row r="12" spans="1:52" ht="18" customHeight="1" x14ac:dyDescent="0.3">
      <c r="A12" s="7"/>
      <c r="B12" s="86" t="s">
        <v>1</v>
      </c>
      <c r="C12" s="78">
        <f>D10/D12-1</f>
        <v>0.33544053733702106</v>
      </c>
      <c r="D12" s="29">
        <f>(N12+R12+V12+Z12+AD12+AH12+AL12+AP12+AT12+AX12)/10</f>
        <v>0.10124</v>
      </c>
      <c r="E12" s="29">
        <f>SQRT(((N12-D12)^2+(R12-D12)^2+(V12-D12)^2+(Z12-D12)^2+(AD12-D12)^2+(AH12-D12)^2+(AL12-D12)^2+(AP12-D12)^2+(AT12-D12)^2+(AX12-D12)^2)/10)</f>
        <v>1.2253913660541273E-2</v>
      </c>
      <c r="F12" s="79">
        <f>E12/D12</f>
        <v>0.12103826215469451</v>
      </c>
      <c r="G12" s="15">
        <f>(O12+S12+W12+AA12+AE12+AI12+AM12+AQ12+AU12+AY12)/10</f>
        <v>0.46299999999999997</v>
      </c>
      <c r="H12" s="25">
        <f>SQRT(((O12-G12)^2+(S12-G12)^2+(W12-G12)^2+(AA12-G12)^2+(AE12-G12)^2+(AI12-G12)^2+(AM12-G12)^2+(AQ12-G12)^2+(AU12-G12)^2+(AY12-G12)^2)/10)</f>
        <v>0.15244999180059013</v>
      </c>
      <c r="I12" s="31">
        <f>H12/G12</f>
        <v>0.32926564103799166</v>
      </c>
      <c r="J12" s="25">
        <f>(P12+T12+X12+AB12+AF12+AJ12+AN12+AR12+AV12+AZ12)/10</f>
        <v>0.12503000000000003</v>
      </c>
      <c r="K12" s="25">
        <f>SQRT(((P12-J12)^2+(T12-J12)^2+(X12-J12)^2+(AB12-J12)^2+(AF12-J12)^2+(AJ12-J12)^2+(AN12-J12)^2+(AR12-J12)^2+(AV12-J12)^2+(AZ12-J12)^2)/10)</f>
        <v>1.5465577907081262E-2</v>
      </c>
      <c r="L12" s="31">
        <f>K12/J12</f>
        <v>0.1236949364718968</v>
      </c>
      <c r="N12" s="75">
        <v>9.4899999999999998E-2</v>
      </c>
      <c r="O12" s="25">
        <v>0.56000000000000005</v>
      </c>
      <c r="P12" s="25">
        <v>0.1142</v>
      </c>
      <c r="R12" s="75">
        <v>0.10829999999999999</v>
      </c>
      <c r="S12" s="81">
        <v>0.41</v>
      </c>
      <c r="T12" s="83">
        <v>0.12970000000000001</v>
      </c>
      <c r="V12" s="75">
        <v>0.1179</v>
      </c>
      <c r="W12" s="81">
        <v>0.61</v>
      </c>
      <c r="X12" s="83">
        <v>0.10639999999999999</v>
      </c>
      <c r="Z12" s="75">
        <v>9.4E-2</v>
      </c>
      <c r="AA12" s="81">
        <v>0.47</v>
      </c>
      <c r="AB12" s="83">
        <v>0.12690000000000001</v>
      </c>
      <c r="AD12" s="75">
        <v>9.4600000000000004E-2</v>
      </c>
      <c r="AE12" s="81">
        <v>0.31</v>
      </c>
      <c r="AF12" s="83">
        <v>0.14349999999999999</v>
      </c>
      <c r="AH12" s="75">
        <v>0.1171</v>
      </c>
      <c r="AI12" s="81">
        <v>0.56999999999999995</v>
      </c>
      <c r="AJ12" s="83">
        <v>0.11940000000000001</v>
      </c>
      <c r="AL12" s="75">
        <v>8.2199999999999995E-2</v>
      </c>
      <c r="AM12" s="81">
        <v>0.25</v>
      </c>
      <c r="AN12" s="83">
        <v>0.15060000000000001</v>
      </c>
      <c r="AP12" s="75">
        <v>8.4400000000000003E-2</v>
      </c>
      <c r="AQ12" s="81">
        <v>0.21</v>
      </c>
      <c r="AR12" s="83">
        <v>0.1386</v>
      </c>
      <c r="AT12" s="75">
        <v>0.1082</v>
      </c>
      <c r="AU12" s="81">
        <v>0.56999999999999995</v>
      </c>
      <c r="AV12" s="83">
        <v>0.1221</v>
      </c>
      <c r="AX12" s="75">
        <v>0.1108</v>
      </c>
      <c r="AY12" s="81">
        <v>0.67</v>
      </c>
      <c r="AZ12" s="83">
        <v>9.8900000000000002E-2</v>
      </c>
    </row>
    <row r="13" spans="1:52" ht="18" customHeight="1" x14ac:dyDescent="0.3">
      <c r="A13" s="7"/>
      <c r="B13" s="86" t="s">
        <v>11</v>
      </c>
      <c r="C13" s="78">
        <f>D10/D13-1</f>
        <v>12.866666666666669</v>
      </c>
      <c r="D13" s="29">
        <f>(N13+R13+V13+Z13+AD13+AH13+AL13+AP13+AT13+AX13)/10</f>
        <v>9.75E-3</v>
      </c>
      <c r="E13" s="29">
        <f>SQRT(((N13-D13)^2+(R13-D13)^2+(V13-D13)^2+(Z13-D13)^2+(AD13-D13)^2+(AH13-D13)^2+(AL13-D13)^2+(AP13-D13)^2+(AT13-D13)^2+(AX13-D13)^2)/10)</f>
        <v>5.4267854204860533E-4</v>
      </c>
      <c r="F13" s="79">
        <f>E13/D13</f>
        <v>5.5659337646010804E-2</v>
      </c>
      <c r="G13" s="15">
        <f>(O13+S13+W13+AA13+AE13+AI13+AM13+AQ13+AU13+AY13)/10</f>
        <v>0.29899999999999999</v>
      </c>
      <c r="H13" s="25">
        <f>SQRT(((O13-G13)^2+(S13-G13)^2+(W13-G13)^2+(AA13-G13)^2+(AE13-G13)^2+(AI13-G13)^2+(AM13-G13)^2+(AQ13-G13)^2+(AU13-G13)^2+(AY13-G13)^2)/10)</f>
        <v>5.6824290580701493E-2</v>
      </c>
      <c r="I13" s="31">
        <f>H13/G13</f>
        <v>0.19004779458428595</v>
      </c>
      <c r="J13" s="25">
        <f>(P13+T13+X13+AB13+AF13+AJ13+AN13+AR13+AV13+AZ13)/10</f>
        <v>1.6730000000000002E-2</v>
      </c>
      <c r="K13" s="25">
        <f>SQRT(((P13-J13)^2+(T13-J13)^2+(X13-J13)^2+(AB13-J13)^2+(AF13-J13)^2+(AJ13-J13)^2+(AN13-J13)^2+(AR13-J13)^2+(AV13-J13)^2+(AZ13-J13)^2)/10)</f>
        <v>2.4462420158275428E-3</v>
      </c>
      <c r="L13" s="31">
        <f>K13/J13</f>
        <v>0.1462188891708035</v>
      </c>
      <c r="N13" s="75">
        <v>1.01E-2</v>
      </c>
      <c r="O13" s="81">
        <v>0.43</v>
      </c>
      <c r="P13" s="25">
        <v>2.01E-2</v>
      </c>
      <c r="R13" s="75">
        <v>9.1000000000000004E-3</v>
      </c>
      <c r="S13" s="81">
        <v>0.25</v>
      </c>
      <c r="T13" s="83">
        <v>1.3899999999999999E-2</v>
      </c>
      <c r="V13" s="75">
        <v>9.4999999999999998E-3</v>
      </c>
      <c r="W13" s="81">
        <v>0.28999999999999998</v>
      </c>
      <c r="X13" s="83">
        <v>1.7000000000000001E-2</v>
      </c>
      <c r="Z13" s="75">
        <v>1.01E-2</v>
      </c>
      <c r="AA13" s="81">
        <v>0.35</v>
      </c>
      <c r="AB13" s="83">
        <v>2.0500000000000001E-2</v>
      </c>
      <c r="AD13" s="75">
        <v>1.01E-2</v>
      </c>
      <c r="AE13" s="81">
        <v>0.31</v>
      </c>
      <c r="AF13" s="83">
        <v>1.7899999999999999E-2</v>
      </c>
      <c r="AH13" s="75">
        <v>9.7999999999999997E-3</v>
      </c>
      <c r="AI13" s="81">
        <v>0.25</v>
      </c>
      <c r="AJ13" s="83">
        <v>1.52E-2</v>
      </c>
      <c r="AL13" s="75">
        <v>9.9000000000000008E-3</v>
      </c>
      <c r="AM13" s="81">
        <v>0.32</v>
      </c>
      <c r="AN13" s="83">
        <v>1.7399999999999999E-2</v>
      </c>
      <c r="AO13" s="34"/>
      <c r="AP13" s="84">
        <v>9.4999999999999998E-3</v>
      </c>
      <c r="AQ13" s="85">
        <v>0.27</v>
      </c>
      <c r="AR13" s="83">
        <v>1.4999999999999999E-2</v>
      </c>
      <c r="AT13" s="75">
        <v>8.6999999999999994E-3</v>
      </c>
      <c r="AU13" s="81">
        <v>0.22</v>
      </c>
      <c r="AV13" s="83">
        <v>1.2500000000000001E-2</v>
      </c>
      <c r="AX13" s="75">
        <v>1.0699999999999999E-2</v>
      </c>
      <c r="AY13" s="81">
        <v>0.3</v>
      </c>
      <c r="AZ13" s="83">
        <v>1.78E-2</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0.49914763041254684</v>
      </c>
      <c r="D17" s="29">
        <f>(N17+R17+V17+Z17+AD17+AH17+AL17+AP17+AT17+AX17)/10</f>
        <v>8.7989999999999999E-2</v>
      </c>
      <c r="E17" s="29">
        <f>SQRT(((N17-D17)^2+(R17-D17)^2+(V17-D17)^2+(Z17-D17)^2+(AD17-D17)^2+(AH17-D17)^2+(AL17-D17)^2+(AP17-D17)^2+(AT17-D17)^2+(AX17-D17)^2)/10)</f>
        <v>1.3087780560507569E-3</v>
      </c>
      <c r="F17" s="79">
        <f>E17/D17</f>
        <v>1.4874168156049063E-2</v>
      </c>
      <c r="G17" s="15">
        <f>(O17+S17+W17+AA17+AE17+AI17+AM17+AQ17+AU17+AY17)/10</f>
        <v>0.79500000000000004</v>
      </c>
      <c r="H17" s="25">
        <f>SQRT(((O17-G17)^2+(S17-G17)^2+(W17-G17)^2+(AA17-G17)^2+(AE17-G17)^2+(AI17-G17)^2+(AM17-G17)^2+(AQ17-G17)^2+(AU17-G17)^2+(AY17-G17)^2)/10)</f>
        <v>9.2195444572928959E-3</v>
      </c>
      <c r="I17" s="31">
        <f>H17/G17</f>
        <v>1.1596911267035088E-2</v>
      </c>
      <c r="J17" s="25">
        <f>(P17+T17+X17+AB17+AF17+AJ17+AN17+AR17+AV17+AZ17)/10</f>
        <v>7.2040000000000007E-2</v>
      </c>
      <c r="K17" s="25">
        <f>SQRT(((P17-J17)^2+(T17-J17)^2+(X17-J17)^2+(AB17-J17)^2+(AF17-J17)^2+(AJ17-J17)^2+(AN17-J17)^2+(AR17-J17)^2+(AV17-J17)^2+(AZ17-J17)^2)/10)</f>
        <v>8.1264998615639887E-4</v>
      </c>
      <c r="L17" s="31">
        <f>K17/J17</f>
        <v>1.1280538397506925E-2</v>
      </c>
      <c r="N17" s="75">
        <v>8.6900000000000005E-2</v>
      </c>
      <c r="O17" s="81">
        <v>0.8</v>
      </c>
      <c r="P17" s="25">
        <v>7.2599999999999998E-2</v>
      </c>
      <c r="R17" s="75">
        <v>8.6800000000000002E-2</v>
      </c>
      <c r="S17" s="81">
        <v>0.8</v>
      </c>
      <c r="T17" s="25">
        <v>7.2499999999999995E-2</v>
      </c>
      <c r="V17" s="75">
        <v>8.6900000000000005E-2</v>
      </c>
      <c r="W17" s="81">
        <v>0.8</v>
      </c>
      <c r="X17" s="25">
        <v>7.2599999999999998E-2</v>
      </c>
      <c r="Z17" s="75">
        <v>9.0200000000000002E-2</v>
      </c>
      <c r="AA17" s="81">
        <v>0.77</v>
      </c>
      <c r="AB17" s="25">
        <v>7.0000000000000007E-2</v>
      </c>
      <c r="AD17" s="75">
        <v>8.9700000000000002E-2</v>
      </c>
      <c r="AE17" s="81">
        <v>0.79</v>
      </c>
      <c r="AF17" s="25">
        <v>7.1400000000000005E-2</v>
      </c>
      <c r="AH17" s="75">
        <v>8.6800000000000002E-2</v>
      </c>
      <c r="AI17" s="81">
        <v>0.8</v>
      </c>
      <c r="AJ17" s="25">
        <v>7.2499999999999995E-2</v>
      </c>
      <c r="AL17" s="75">
        <v>8.6900000000000005E-2</v>
      </c>
      <c r="AM17" s="81">
        <v>0.8</v>
      </c>
      <c r="AN17" s="25">
        <v>7.2599999999999998E-2</v>
      </c>
      <c r="AP17" s="75">
        <v>8.7999999999999995E-2</v>
      </c>
      <c r="AQ17" s="81">
        <v>0.8</v>
      </c>
      <c r="AR17" s="25">
        <v>7.2400000000000006E-2</v>
      </c>
      <c r="AT17" s="75">
        <v>8.9700000000000002E-2</v>
      </c>
      <c r="AU17" s="81">
        <v>0.79</v>
      </c>
      <c r="AV17" s="25">
        <v>7.1400000000000005E-2</v>
      </c>
      <c r="AX17" s="75">
        <v>8.7999999999999995E-2</v>
      </c>
      <c r="AY17" s="81">
        <v>0.8</v>
      </c>
      <c r="AZ17" s="25">
        <v>7.2400000000000006E-2</v>
      </c>
    </row>
    <row r="18" spans="1:52" ht="32.4" customHeight="1" x14ac:dyDescent="0.3">
      <c r="A18"/>
      <c r="B18" s="86" t="s">
        <v>44</v>
      </c>
      <c r="C18" s="80"/>
      <c r="D18" s="29">
        <f>(N18+R18+V18+Z18+AD18+AH18+AL18+AP18+AT18+AX18)/10</f>
        <v>0.13191</v>
      </c>
      <c r="E18" s="29">
        <f>SQRT(((N18-D18)^2+(R18-D18)^2+(V18-D18)^2+(Z18-D18)^2+(AD18-D18)^2+(AH18-D18)^2+(AL18-D18)^2+(AP18-D18)^2+(AT18-D18)^2+(AX18-D18)^2)/10)</f>
        <v>1.4124266352628726E-2</v>
      </c>
      <c r="F18" s="79">
        <f>E18/D18</f>
        <v>0.10707502352079999</v>
      </c>
      <c r="G18" s="18">
        <f>(O18+S18+W18+AA18+AE18+AI18+AM18+AQ18+AU18+AY18)/10</f>
        <v>0.77500000000000002</v>
      </c>
      <c r="H18" s="64">
        <f>SQRT(((O18-G18)^2+(S18-G18)^2+(W18-G18)^2+(AA18-G18)^2+(AE18-G18)^2+(AI18-G18)^2+(AM18-G18)^2+(AQ18-G18)^2+(AU18-G18)^2+(AY18-G18)^2)/10)</f>
        <v>2.0124611797498124E-2</v>
      </c>
      <c r="I18" s="62">
        <f>H18/G18</f>
        <v>2.5967241029029836E-2</v>
      </c>
      <c r="J18" s="64">
        <f>(P18+T18+X18+AB18+AF18+AJ18+AN18+AR18+AV18+AZ18)/10</f>
        <v>8.3590000000000012E-2</v>
      </c>
      <c r="K18" s="64">
        <f>SQRT(((P18-J18)^2+(T18-J18)^2+(X18-J18)^2+(AB18-J18)^2+(AF18-J18)^2+(AJ18-J18)^2+(AN18-J18)^2+(AR18-J18)^2+(AV18-J18)^2+(AZ18-J18)^2)/10)</f>
        <v>2.2664730309447751E-3</v>
      </c>
      <c r="L18" s="62">
        <f>K18/J18</f>
        <v>2.7114164743926007E-2</v>
      </c>
      <c r="N18" s="75">
        <v>0.1331</v>
      </c>
      <c r="O18" s="81">
        <v>0.79</v>
      </c>
      <c r="P18" s="25">
        <v>0.08</v>
      </c>
      <c r="R18" s="75">
        <v>0.14149999999999999</v>
      </c>
      <c r="S18" s="81">
        <v>0.79</v>
      </c>
      <c r="T18" s="25">
        <v>8.43E-2</v>
      </c>
      <c r="V18" s="75">
        <v>0.1191</v>
      </c>
      <c r="W18" s="81">
        <v>0.79</v>
      </c>
      <c r="X18" s="25">
        <v>8.7599999999999997E-2</v>
      </c>
      <c r="Z18" s="75">
        <v>0.13389999999999999</v>
      </c>
      <c r="AA18" s="81">
        <v>0.77</v>
      </c>
      <c r="AB18" s="25">
        <v>8.3099999999999993E-2</v>
      </c>
      <c r="AD18" s="75">
        <v>0.14879999999999999</v>
      </c>
      <c r="AE18" s="81">
        <v>0.78</v>
      </c>
      <c r="AF18" s="25">
        <v>8.5699999999999998E-2</v>
      </c>
      <c r="AH18" s="75">
        <v>0.1221</v>
      </c>
      <c r="AI18" s="81">
        <v>0.76</v>
      </c>
      <c r="AJ18" s="25">
        <v>8.4900000000000003E-2</v>
      </c>
      <c r="AL18" s="75">
        <v>0.14360000000000001</v>
      </c>
      <c r="AM18" s="81">
        <v>0.74</v>
      </c>
      <c r="AN18" s="25">
        <v>8.0600000000000005E-2</v>
      </c>
      <c r="AP18" s="75">
        <v>0.1411</v>
      </c>
      <c r="AQ18" s="81">
        <v>0.81</v>
      </c>
      <c r="AR18" s="25">
        <v>8.4900000000000003E-2</v>
      </c>
      <c r="AT18" s="75">
        <v>9.8699999999999996E-2</v>
      </c>
      <c r="AU18" s="81">
        <v>0.75</v>
      </c>
      <c r="AV18" s="25">
        <v>8.3400000000000002E-2</v>
      </c>
      <c r="AX18" s="75">
        <v>0.13719999999999999</v>
      </c>
      <c r="AY18" s="81">
        <v>0.77</v>
      </c>
      <c r="AZ18" s="25">
        <v>8.14E-2</v>
      </c>
    </row>
    <row r="19" spans="1:52" ht="16.8" x14ac:dyDescent="0.3">
      <c r="A19"/>
      <c r="B19" s="86" t="s">
        <v>5</v>
      </c>
      <c r="C19" s="78">
        <f>D18/D19-1</f>
        <v>0.82675529705027007</v>
      </c>
      <c r="D19" s="29">
        <f>(N19+R19+V19+Z19+AD19+AH19+AL19+AP19+AT19+AX19)/10</f>
        <v>7.2209999999999996E-2</v>
      </c>
      <c r="E19" s="29">
        <f>SQRT(((N19-D19)^2+(R19-D19)^2+(V19-D19)^2+(Z19-D19)^2+(AD19-D19)^2+(AH19-D19)^2+(AL19-D19)^2+(AP19-D19)^2+(AT19-D19)^2+(AX19-D19)^2)/10)</f>
        <v>2.8507207860469258E-2</v>
      </c>
      <c r="F19" s="79">
        <f>E19/D19</f>
        <v>0.39478199502103944</v>
      </c>
      <c r="G19" s="15">
        <f>(O19+S19+W19+AA19+AE19+AI19+AM19+AQ19+AU19+AY19)/10</f>
        <v>0.32600000000000001</v>
      </c>
      <c r="H19" s="25">
        <f>SQRT(((O19-G19)^2+(S19-G19)^2+(W19-G19)^2+(AA19-G19)^2+(AE19-G19)^2+(AI19-G19)^2+(AM19-G19)^2+(AQ19-G19)^2+(AU19-G19)^2+(AY19-G19)^2)/10)</f>
        <v>0.3658469625403496</v>
      </c>
      <c r="I19" s="31">
        <f>H19/G19</f>
        <v>1.1222299464427901</v>
      </c>
      <c r="J19" s="25">
        <f>(P19+T19+X19+AB19+AF19+AJ19+AN19+AR19+AV19+AZ19)/10</f>
        <v>6.7970000000000003E-2</v>
      </c>
      <c r="K19" s="25">
        <f>SQRT(((P19-J19)^2+(T19-J19)^2+(X19-J19)^2+(AB19-J19)^2+(AF19-J19)^2+(AJ19-J19)^2+(AN19-J19)^2+(AR19-J19)^2+(AV19-J19)^2+(AZ19-J19)^2)/10)</f>
        <v>6.1533926414621062E-2</v>
      </c>
      <c r="L19" s="31">
        <f>K19/J19</f>
        <v>0.90531008407563718</v>
      </c>
      <c r="N19" s="75">
        <v>0.10199999999999999</v>
      </c>
      <c r="O19" s="25">
        <v>1</v>
      </c>
      <c r="P19" s="25">
        <v>2.18E-2</v>
      </c>
      <c r="R19" s="75">
        <v>0.12820000000000001</v>
      </c>
      <c r="S19" s="81">
        <v>1</v>
      </c>
      <c r="T19" s="82">
        <v>2.18E-2</v>
      </c>
      <c r="V19" s="75">
        <v>6.6900000000000001E-2</v>
      </c>
      <c r="W19" s="81">
        <v>0</v>
      </c>
      <c r="X19" s="82">
        <v>0</v>
      </c>
      <c r="Z19" s="75">
        <v>7.3899999999999993E-2</v>
      </c>
      <c r="AA19" s="81">
        <v>0.43</v>
      </c>
      <c r="AB19" s="82">
        <v>0.1004</v>
      </c>
      <c r="AD19" s="75">
        <v>6.88E-2</v>
      </c>
      <c r="AE19" s="81">
        <v>0</v>
      </c>
      <c r="AF19" s="82">
        <v>0</v>
      </c>
      <c r="AH19" s="75">
        <v>8.6400000000000005E-2</v>
      </c>
      <c r="AI19" s="81">
        <v>0.12</v>
      </c>
      <c r="AJ19" s="82">
        <v>0.15579999999999999</v>
      </c>
      <c r="AL19" s="75">
        <v>5.9700000000000003E-2</v>
      </c>
      <c r="AM19" s="81">
        <v>0.11</v>
      </c>
      <c r="AN19" s="82">
        <v>0.10580000000000001</v>
      </c>
      <c r="AP19" s="75">
        <v>6.2399999999999997E-2</v>
      </c>
      <c r="AQ19" s="81">
        <v>0.23</v>
      </c>
      <c r="AR19" s="82">
        <v>0.13730000000000001</v>
      </c>
      <c r="AT19" s="75">
        <v>1.3299999999999999E-2</v>
      </c>
      <c r="AU19" s="81">
        <v>0</v>
      </c>
      <c r="AV19" s="82">
        <v>0</v>
      </c>
      <c r="AX19" s="75">
        <v>6.0499999999999998E-2</v>
      </c>
      <c r="AY19" s="81">
        <v>0.37</v>
      </c>
      <c r="AZ19" s="82">
        <v>0.1368</v>
      </c>
    </row>
    <row r="20" spans="1:52" ht="16.8" x14ac:dyDescent="0.3">
      <c r="A20"/>
      <c r="B20" s="86" t="s">
        <v>1</v>
      </c>
      <c r="C20" s="87">
        <f>D18/D20-1</f>
        <v>0.30294350059265107</v>
      </c>
      <c r="D20" s="29">
        <f>(N20+R20+V20+Z20+AD20+AH20+AL20+AP20+AT20+AX20)/10</f>
        <v>0.10124</v>
      </c>
      <c r="E20" s="29">
        <f>SQRT(((N20-D20)^2+(R20-D20)^2+(V20-D20)^2+(Z20-D20)^2+(AD20-D20)^2+(AH20-D20)^2+(AL20-D20)^2+(AP20-D20)^2+(AT20-D20)^2+(AX20-D20)^2)/10)</f>
        <v>1.2253913660541273E-2</v>
      </c>
      <c r="F20" s="79">
        <f>E20/D20</f>
        <v>0.12103826215469451</v>
      </c>
      <c r="G20" s="15">
        <f>(O20+S20+W20+AA20+AE20+AI20+AM20+AQ20+AU20+AY20)/10</f>
        <v>0.46299999999999997</v>
      </c>
      <c r="H20" s="25">
        <f>SQRT(((O20-G20)^2+(S20-G20)^2+(W20-G20)^2+(AA20-G20)^2+(AE20-G20)^2+(AI20-G20)^2+(AM20-G20)^2+(AQ20-G20)^2+(AU20-G20)^2+(AY20-G20)^2)/10)</f>
        <v>0.15244999180059013</v>
      </c>
      <c r="I20" s="31">
        <f>H20/G20</f>
        <v>0.32926564103799166</v>
      </c>
      <c r="J20" s="25">
        <f>(P20+T20+X20+AB20+AF20+AJ20+AN20+AR20+AV20+AZ20)/10</f>
        <v>0.12503000000000003</v>
      </c>
      <c r="K20" s="25">
        <f>SQRT(((P20-J20)^2+(T20-J20)^2+(X20-J20)^2+(AB20-J20)^2+(AF20-J20)^2+(AJ20-J20)^2+(AN20-J20)^2+(AR20-J20)^2+(AV20-J20)^2+(AZ20-J20)^2)/10)</f>
        <v>1.5465577907081262E-2</v>
      </c>
      <c r="L20" s="31">
        <f>K20/J20</f>
        <v>0.1236949364718968</v>
      </c>
      <c r="N20" s="75">
        <v>9.4899999999999998E-2</v>
      </c>
      <c r="O20" s="25">
        <v>0.56000000000000005</v>
      </c>
      <c r="P20" s="25">
        <v>0.1142</v>
      </c>
      <c r="R20" s="75">
        <v>0.10829999999999999</v>
      </c>
      <c r="S20" s="81">
        <v>0.41</v>
      </c>
      <c r="T20" s="83">
        <v>0.12970000000000001</v>
      </c>
      <c r="V20" s="75">
        <v>0.1179</v>
      </c>
      <c r="W20" s="81">
        <v>0.61</v>
      </c>
      <c r="X20" s="83">
        <v>0.10639999999999999</v>
      </c>
      <c r="Z20" s="75">
        <v>9.4E-2</v>
      </c>
      <c r="AA20" s="81">
        <v>0.47</v>
      </c>
      <c r="AB20" s="83">
        <v>0.12690000000000001</v>
      </c>
      <c r="AD20" s="75">
        <v>9.4600000000000004E-2</v>
      </c>
      <c r="AE20" s="81">
        <v>0.31</v>
      </c>
      <c r="AF20" s="83">
        <v>0.14349999999999999</v>
      </c>
      <c r="AH20" s="75">
        <v>0.1171</v>
      </c>
      <c r="AI20" s="81">
        <v>0.56999999999999995</v>
      </c>
      <c r="AJ20" s="83">
        <v>0.11940000000000001</v>
      </c>
      <c r="AL20" s="75">
        <v>8.2199999999999995E-2</v>
      </c>
      <c r="AM20" s="81">
        <v>0.25</v>
      </c>
      <c r="AN20" s="83">
        <v>0.15060000000000001</v>
      </c>
      <c r="AP20" s="75">
        <v>8.4400000000000003E-2</v>
      </c>
      <c r="AQ20" s="81">
        <v>0.21</v>
      </c>
      <c r="AR20" s="83">
        <v>0.1386</v>
      </c>
      <c r="AT20" s="75">
        <v>0.1082</v>
      </c>
      <c r="AU20" s="81">
        <v>0.56999999999999995</v>
      </c>
      <c r="AV20" s="83">
        <v>0.1221</v>
      </c>
      <c r="AX20" s="75">
        <v>0.1108</v>
      </c>
      <c r="AY20" s="81">
        <v>0.67</v>
      </c>
      <c r="AZ20" s="83">
        <v>9.8900000000000002E-2</v>
      </c>
    </row>
    <row r="21" spans="1:52" ht="16.8" x14ac:dyDescent="0.3">
      <c r="A21"/>
      <c r="B21" s="86" t="s">
        <v>11</v>
      </c>
      <c r="C21" s="78">
        <f>D18/D21-1</f>
        <v>12.52923076923077</v>
      </c>
      <c r="D21" s="29">
        <f>(N21+R21+V21+Z21+AD21+AH21+AL21+AP21+AT21+AX21)/10</f>
        <v>9.75E-3</v>
      </c>
      <c r="E21" s="29">
        <f>SQRT(((N21-D21)^2+(R21-D21)^2+(V21-D21)^2+(Z21-D21)^2+(AD21-D21)^2+(AH21-D21)^2+(AL21-D21)^2+(AP21-D21)^2+(AT21-D21)^2+(AX21-D21)^2)/10)</f>
        <v>5.4267854204860533E-4</v>
      </c>
      <c r="F21" s="79">
        <f>E21/D21</f>
        <v>5.5659337646010804E-2</v>
      </c>
      <c r="G21" s="15">
        <f>(O21+S21+W21+AA21+AE21+AI21+AM21+AQ21+AU21+AY21)/10</f>
        <v>0.29899999999999999</v>
      </c>
      <c r="H21" s="25">
        <f>SQRT(((O21-G21)^2+(S21-G21)^2+(W21-G21)^2+(AA21-G21)^2+(AE21-G21)^2+(AI21-G21)^2+(AM21-G21)^2+(AQ21-G21)^2+(AU21-G21)^2+(AY21-G21)^2)/10)</f>
        <v>5.6824290580701493E-2</v>
      </c>
      <c r="I21" s="31">
        <f>H21/G21</f>
        <v>0.19004779458428595</v>
      </c>
      <c r="J21" s="25">
        <f>(P21+T21+X21+AB21+AF21+AJ21+AN21+AR21+AV21+AZ21)/10</f>
        <v>1.6730000000000002E-2</v>
      </c>
      <c r="K21" s="25">
        <f>SQRT(((P21-J21)^2+(T21-J21)^2+(X21-J21)^2+(AB21-J21)^2+(AF21-J21)^2+(AJ21-J21)^2+(AN21-J21)^2+(AR21-J21)^2+(AV21-J21)^2+(AZ21-J21)^2)/10)</f>
        <v>2.4462420158275428E-3</v>
      </c>
      <c r="L21" s="31">
        <f>K21/J21</f>
        <v>0.1462188891708035</v>
      </c>
      <c r="N21" s="75">
        <v>1.01E-2</v>
      </c>
      <c r="O21" s="81">
        <v>0.43</v>
      </c>
      <c r="P21" s="25">
        <v>2.01E-2</v>
      </c>
      <c r="R21" s="75">
        <v>9.1000000000000004E-3</v>
      </c>
      <c r="S21" s="81">
        <v>0.25</v>
      </c>
      <c r="T21" s="83">
        <v>1.3899999999999999E-2</v>
      </c>
      <c r="V21" s="75">
        <v>9.4999999999999998E-3</v>
      </c>
      <c r="W21" s="81">
        <v>0.28999999999999998</v>
      </c>
      <c r="X21" s="83">
        <v>1.7000000000000001E-2</v>
      </c>
      <c r="Z21" s="75">
        <v>1.01E-2</v>
      </c>
      <c r="AA21" s="81">
        <v>0.35</v>
      </c>
      <c r="AB21" s="83">
        <v>2.0500000000000001E-2</v>
      </c>
      <c r="AD21" s="75">
        <v>1.01E-2</v>
      </c>
      <c r="AE21" s="81">
        <v>0.31</v>
      </c>
      <c r="AF21" s="83">
        <v>1.7899999999999999E-2</v>
      </c>
      <c r="AH21" s="75">
        <v>9.7999999999999997E-3</v>
      </c>
      <c r="AI21" s="81">
        <v>0.25</v>
      </c>
      <c r="AJ21" s="83">
        <v>1.52E-2</v>
      </c>
      <c r="AL21" s="75">
        <v>9.9000000000000008E-3</v>
      </c>
      <c r="AM21" s="81">
        <v>0.32</v>
      </c>
      <c r="AN21" s="83">
        <v>1.7399999999999999E-2</v>
      </c>
      <c r="AO21" s="34"/>
      <c r="AP21" s="84">
        <v>9.4999999999999998E-3</v>
      </c>
      <c r="AQ21" s="85">
        <v>0.27</v>
      </c>
      <c r="AR21" s="83">
        <v>1.4999999999999999E-2</v>
      </c>
      <c r="AT21" s="75">
        <v>8.6999999999999994E-3</v>
      </c>
      <c r="AU21" s="81">
        <v>0.22</v>
      </c>
      <c r="AV21" s="83">
        <v>1.2500000000000001E-2</v>
      </c>
      <c r="AX21" s="75">
        <v>1.0699999999999999E-2</v>
      </c>
      <c r="AY21" s="81">
        <v>0.3</v>
      </c>
      <c r="AZ21" s="83">
        <v>1.78E-2</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0.64655074440277294</v>
      </c>
      <c r="D25" s="29">
        <f>(N25+R25+V25+Z25+AD25+AH25+AL25+AP25+AT25+AX25)/10</f>
        <v>8.7989999999999999E-2</v>
      </c>
      <c r="E25" s="29">
        <f>SQRT(((N25-D25)^2+(R25-D25)^2+(V25-D25)^2+(Z25-D25)^2+(AD25-D25)^2+(AH25-D25)^2+(AL25-D25)^2+(AP25-D25)^2+(AT25-D25)^2+(AX25-D25)^2)/10)</f>
        <v>1.3087780560507569E-3</v>
      </c>
      <c r="F25" s="79">
        <f>E25/D25</f>
        <v>1.4874168156049063E-2</v>
      </c>
      <c r="G25" s="15">
        <f>(O25+S25+W25+AA25+AE25+AI25+AM25+AQ25+AU25+AY25)/10</f>
        <v>0.79500000000000004</v>
      </c>
      <c r="H25" s="25">
        <f>SQRT(((O25-G25)^2+(S25-G25)^2+(W25-G25)^2+(AA25-G25)^2+(AE25-G25)^2+(AI25-G25)^2+(AM25-G25)^2+(AQ25-G25)^2+(AU25-G25)^2+(AY25-G25)^2)/10)</f>
        <v>9.2195444572928959E-3</v>
      </c>
      <c r="I25" s="31">
        <f>H25/G25</f>
        <v>1.1596911267035088E-2</v>
      </c>
      <c r="J25" s="25">
        <f>(P25+T25+X25+AB25+AF25+AJ25+AN25+AR25+AV25+AZ25)/10</f>
        <v>7.2040000000000007E-2</v>
      </c>
      <c r="K25" s="25">
        <f>SQRT(((P25-J25)^2+(T25-J25)^2+(X25-J25)^2+(AB25-J25)^2+(AF25-J25)^2+(AJ25-J25)^2+(AN25-J25)^2+(AR25-J25)^2+(AV25-J25)^2+(AZ25-J25)^2)/10)</f>
        <v>8.1264998615639887E-4</v>
      </c>
      <c r="L25" s="31">
        <f>K25/J25</f>
        <v>1.1280538397506925E-2</v>
      </c>
      <c r="N25" s="75">
        <v>8.6900000000000005E-2</v>
      </c>
      <c r="O25" s="81">
        <v>0.8</v>
      </c>
      <c r="P25" s="25">
        <v>7.2599999999999998E-2</v>
      </c>
      <c r="R25" s="75">
        <v>8.6800000000000002E-2</v>
      </c>
      <c r="S25" s="81">
        <v>0.8</v>
      </c>
      <c r="T25" s="25">
        <v>7.2499999999999995E-2</v>
      </c>
      <c r="V25" s="75">
        <v>8.6900000000000005E-2</v>
      </c>
      <c r="W25" s="81">
        <v>0.8</v>
      </c>
      <c r="X25" s="25">
        <v>7.2599999999999998E-2</v>
      </c>
      <c r="Z25" s="75">
        <v>9.0200000000000002E-2</v>
      </c>
      <c r="AA25" s="81">
        <v>0.77</v>
      </c>
      <c r="AB25" s="25">
        <v>7.0000000000000007E-2</v>
      </c>
      <c r="AD25" s="75">
        <v>8.9700000000000002E-2</v>
      </c>
      <c r="AE25" s="81">
        <v>0.79</v>
      </c>
      <c r="AF25" s="25">
        <v>7.1400000000000005E-2</v>
      </c>
      <c r="AH25" s="75">
        <v>8.6800000000000002E-2</v>
      </c>
      <c r="AI25" s="81">
        <v>0.8</v>
      </c>
      <c r="AJ25" s="25">
        <v>7.2499999999999995E-2</v>
      </c>
      <c r="AL25" s="75">
        <v>8.6900000000000005E-2</v>
      </c>
      <c r="AM25" s="81">
        <v>0.8</v>
      </c>
      <c r="AN25" s="25">
        <v>7.2599999999999998E-2</v>
      </c>
      <c r="AP25" s="75">
        <v>8.7999999999999995E-2</v>
      </c>
      <c r="AQ25" s="81">
        <v>0.8</v>
      </c>
      <c r="AR25" s="25">
        <v>7.2400000000000006E-2</v>
      </c>
      <c r="AT25" s="75">
        <v>8.9700000000000002E-2</v>
      </c>
      <c r="AU25" s="81">
        <v>0.79</v>
      </c>
      <c r="AV25" s="25">
        <v>7.1400000000000005E-2</v>
      </c>
      <c r="AX25" s="75">
        <v>8.7999999999999995E-2</v>
      </c>
      <c r="AY25" s="81">
        <v>0.8</v>
      </c>
      <c r="AZ25" s="25">
        <v>7.2400000000000006E-2</v>
      </c>
    </row>
    <row r="26" spans="1:52" ht="33.6" x14ac:dyDescent="0.3">
      <c r="A26"/>
      <c r="B26" s="86" t="s">
        <v>45</v>
      </c>
      <c r="C26" s="80"/>
      <c r="D26" s="29">
        <f>(N26+R26+V26+Z26+AD26+AH26+AL26+AP26+AT26+AX26)/10</f>
        <v>0.14487999999999998</v>
      </c>
      <c r="E26" s="29">
        <f>SQRT(((N26-D26)^2+(R26-D26)^2+(V26-D26)^2+(Z26-D26)^2+(AD26-D26)^2+(AH26-D26)^2+(AL26-D26)^2+(AP26-D26)^2+(AT26-D26)^2+(AX26-D26)^2)/10)</f>
        <v>9.0093062995993227E-3</v>
      </c>
      <c r="F26" s="79">
        <f>E26/D26</f>
        <v>6.2184610019321671E-2</v>
      </c>
      <c r="G26" s="18">
        <f>(O26+S26+W26+AA26+AE26+AI26+AM26+AQ26+AU26+AY26)/10</f>
        <v>0.78900000000000003</v>
      </c>
      <c r="H26" s="64">
        <f>SQRT(((O26-G26)^2+(S26-G26)^2+(W26-G26)^2+(AA26-G26)^2+(AE26-G26)^2+(AI26-G26)^2+(AM26-G26)^2+(AQ26-G26)^2+(AU26-G26)^2+(AY26-G26)^2)/10)</f>
        <v>2.6248809496813363E-2</v>
      </c>
      <c r="I26" s="62">
        <f>H26/G26</f>
        <v>3.326845310115762E-2</v>
      </c>
      <c r="J26" s="64">
        <f>(P26+T26+X26+AB26+AF26+AJ26+AN26+AR26+AV26+AZ26)/10</f>
        <v>8.4329999999999988E-2</v>
      </c>
      <c r="K26" s="64">
        <f>SQRT(((P26-J26)^2+(T26-J26)^2+(X26-J26)^2+(AB26-J26)^2+(AF26-J26)^2+(AJ26-J26)^2+(AN26-J26)^2+(AR26-J26)^2+(AV26-J26)^2+(AZ26-J26)^2)/10)</f>
        <v>2.7044592805217111E-3</v>
      </c>
      <c r="L26" s="62">
        <f>K26/J26</f>
        <v>3.2069954707953416E-2</v>
      </c>
      <c r="N26" s="75">
        <v>0.1507</v>
      </c>
      <c r="O26" s="81">
        <v>0.76</v>
      </c>
      <c r="P26" s="25">
        <v>7.9000000000000001E-2</v>
      </c>
      <c r="R26" s="75">
        <v>0.12989999999999999</v>
      </c>
      <c r="S26" s="81">
        <v>0.81</v>
      </c>
      <c r="T26" s="25">
        <v>8.8400000000000006E-2</v>
      </c>
      <c r="V26" s="75">
        <v>0.16320000000000001</v>
      </c>
      <c r="W26" s="81">
        <v>0.82</v>
      </c>
      <c r="X26" s="25">
        <v>8.8900000000000007E-2</v>
      </c>
      <c r="Z26" s="75">
        <v>0.15049999999999999</v>
      </c>
      <c r="AA26" s="81">
        <v>0.78</v>
      </c>
      <c r="AB26" s="25">
        <v>8.4199999999999997E-2</v>
      </c>
      <c r="AD26" s="75">
        <v>0.14449999999999999</v>
      </c>
      <c r="AE26" s="81">
        <v>0.79</v>
      </c>
      <c r="AF26" s="25">
        <v>8.5500000000000007E-2</v>
      </c>
      <c r="AH26" s="75">
        <v>0.13780000000000001</v>
      </c>
      <c r="AI26" s="81">
        <v>0.75</v>
      </c>
      <c r="AJ26" s="25">
        <v>8.3799999999999999E-2</v>
      </c>
      <c r="AL26" s="75">
        <v>0.13500000000000001</v>
      </c>
      <c r="AM26" s="81">
        <v>0.77</v>
      </c>
      <c r="AN26" s="25">
        <v>8.3500000000000005E-2</v>
      </c>
      <c r="AP26" s="75">
        <v>0.15</v>
      </c>
      <c r="AQ26" s="81">
        <v>0.78</v>
      </c>
      <c r="AR26" s="25">
        <v>8.2199999999999995E-2</v>
      </c>
      <c r="AT26" s="75">
        <v>0.14149999999999999</v>
      </c>
      <c r="AU26" s="81">
        <v>0.84</v>
      </c>
      <c r="AV26" s="25">
        <v>8.3799999999999999E-2</v>
      </c>
      <c r="AX26" s="75">
        <v>0.1457</v>
      </c>
      <c r="AY26" s="81">
        <v>0.79</v>
      </c>
      <c r="AZ26" s="25">
        <v>8.4000000000000005E-2</v>
      </c>
    </row>
    <row r="27" spans="1:52" ht="16.8" x14ac:dyDescent="0.3">
      <c r="A27"/>
      <c r="B27" s="86" t="s">
        <v>5</v>
      </c>
      <c r="C27" s="78">
        <f>D26/D27-1</f>
        <v>1.0063703088214928</v>
      </c>
      <c r="D27" s="29">
        <f>(N27+R27+V27+Z27+AD27+AH27+AL27+AP27+AT27+AX27)/10</f>
        <v>7.2209999999999996E-2</v>
      </c>
      <c r="E27" s="29">
        <f>SQRT(((N27-D27)^2+(R27-D27)^2+(V27-D27)^2+(Z27-D27)^2+(AD27-D27)^2+(AH27-D27)^2+(AL27-D27)^2+(AP27-D27)^2+(AT27-D27)^2+(AX27-D27)^2)/10)</f>
        <v>2.8507207860469258E-2</v>
      </c>
      <c r="F27" s="79">
        <f>E27/D27</f>
        <v>0.39478199502103944</v>
      </c>
      <c r="G27" s="15">
        <f>(O27+S27+W27+AA27+AE27+AI27+AM27+AQ27+AU27+AY27)/10</f>
        <v>0.32600000000000001</v>
      </c>
      <c r="H27" s="25">
        <f>SQRT(((O27-G27)^2+(S27-G27)^2+(W27-G27)^2+(AA27-G27)^2+(AE27-G27)^2+(AI27-G27)^2+(AM27-G27)^2+(AQ27-G27)^2+(AU27-G27)^2+(AY27-G27)^2)/10)</f>
        <v>0.3658469625403496</v>
      </c>
      <c r="I27" s="31">
        <f>H27/G27</f>
        <v>1.1222299464427901</v>
      </c>
      <c r="J27" s="25">
        <f>(P27+T27+X27+AB27+AF27+AJ27+AN27+AR27+AV27+AZ27)/10</f>
        <v>6.7970000000000003E-2</v>
      </c>
      <c r="K27" s="25">
        <f>SQRT(((P27-J27)^2+(T27-J27)^2+(X27-J27)^2+(AB27-J27)^2+(AF27-J27)^2+(AJ27-J27)^2+(AN27-J27)^2+(AR27-J27)^2+(AV27-J27)^2+(AZ27-J27)^2)/10)</f>
        <v>6.1533926414621062E-2</v>
      </c>
      <c r="L27" s="31">
        <f>K27/J27</f>
        <v>0.90531008407563718</v>
      </c>
      <c r="N27" s="75">
        <v>0.10199999999999999</v>
      </c>
      <c r="O27" s="25">
        <v>1</v>
      </c>
      <c r="P27" s="25">
        <v>2.18E-2</v>
      </c>
      <c r="R27" s="75">
        <v>0.12820000000000001</v>
      </c>
      <c r="S27" s="81">
        <v>1</v>
      </c>
      <c r="T27" s="82">
        <v>2.18E-2</v>
      </c>
      <c r="V27" s="75">
        <v>6.6900000000000001E-2</v>
      </c>
      <c r="W27" s="81">
        <v>0</v>
      </c>
      <c r="X27" s="82">
        <v>0</v>
      </c>
      <c r="Z27" s="75">
        <v>7.3899999999999993E-2</v>
      </c>
      <c r="AA27" s="81">
        <v>0.43</v>
      </c>
      <c r="AB27" s="82">
        <v>0.1004</v>
      </c>
      <c r="AD27" s="75">
        <v>6.88E-2</v>
      </c>
      <c r="AE27" s="81">
        <v>0</v>
      </c>
      <c r="AF27" s="82">
        <v>0</v>
      </c>
      <c r="AH27" s="75">
        <v>8.6400000000000005E-2</v>
      </c>
      <c r="AI27" s="81">
        <v>0.12</v>
      </c>
      <c r="AJ27" s="82">
        <v>0.15579999999999999</v>
      </c>
      <c r="AL27" s="75">
        <v>5.9700000000000003E-2</v>
      </c>
      <c r="AM27" s="81">
        <v>0.11</v>
      </c>
      <c r="AN27" s="82">
        <v>0.10580000000000001</v>
      </c>
      <c r="AP27" s="75">
        <v>6.2399999999999997E-2</v>
      </c>
      <c r="AQ27" s="81">
        <v>0.23</v>
      </c>
      <c r="AR27" s="82">
        <v>0.13730000000000001</v>
      </c>
      <c r="AT27" s="75">
        <v>1.3299999999999999E-2</v>
      </c>
      <c r="AU27" s="81">
        <v>0</v>
      </c>
      <c r="AV27" s="82">
        <v>0</v>
      </c>
      <c r="AX27" s="75">
        <v>6.0499999999999998E-2</v>
      </c>
      <c r="AY27" s="81">
        <v>0.37</v>
      </c>
      <c r="AZ27" s="82">
        <v>0.1368</v>
      </c>
    </row>
    <row r="28" spans="1:52" ht="16.8" x14ac:dyDescent="0.3">
      <c r="A28" s="3"/>
      <c r="B28" s="86" t="s">
        <v>1</v>
      </c>
      <c r="C28" s="87">
        <f>D26/D28-1</f>
        <v>0.431054919004346</v>
      </c>
      <c r="D28" s="29">
        <f>(N28+R28+V28+Z28+AD28+AH28+AL28+AP28+AT28+AX28)/10</f>
        <v>0.10124</v>
      </c>
      <c r="E28" s="29">
        <f>SQRT(((N28-D28)^2+(R28-D28)^2+(V28-D28)^2+(Z28-D28)^2+(AD28-D28)^2+(AH28-D28)^2+(AL28-D28)^2+(AP28-D28)^2+(AT28-D28)^2+(AX28-D28)^2)/10)</f>
        <v>1.2253913660541273E-2</v>
      </c>
      <c r="F28" s="79">
        <f>E28/D28</f>
        <v>0.12103826215469451</v>
      </c>
      <c r="G28" s="15">
        <f>(O28+S28+W28+AA28+AE28+AI28+AM28+AQ28+AU28+AY28)/10</f>
        <v>0.46299999999999997</v>
      </c>
      <c r="H28" s="25">
        <f>SQRT(((O28-G28)^2+(S28-G28)^2+(W28-G28)^2+(AA28-G28)^2+(AE28-G28)^2+(AI28-G28)^2+(AM28-G28)^2+(AQ28-G28)^2+(AU28-G28)^2+(AY28-G28)^2)/10)</f>
        <v>0.15244999180059013</v>
      </c>
      <c r="I28" s="31">
        <f>H28/G28</f>
        <v>0.32926564103799166</v>
      </c>
      <c r="J28" s="25">
        <f>(P28+T28+X28+AB28+AF28+AJ28+AN28+AR28+AV28+AZ28)/10</f>
        <v>0.12503000000000003</v>
      </c>
      <c r="K28" s="25">
        <f>SQRT(((P28-J28)^2+(T28-J28)^2+(X28-J28)^2+(AB28-J28)^2+(AF28-J28)^2+(AJ28-J28)^2+(AN28-J28)^2+(AR28-J28)^2+(AV28-J28)^2+(AZ28-J28)^2)/10)</f>
        <v>1.5465577907081262E-2</v>
      </c>
      <c r="L28" s="31">
        <f>K28/J28</f>
        <v>0.1236949364718968</v>
      </c>
      <c r="N28" s="75">
        <v>9.4899999999999998E-2</v>
      </c>
      <c r="O28" s="25">
        <v>0.56000000000000005</v>
      </c>
      <c r="P28" s="25">
        <v>0.1142</v>
      </c>
      <c r="R28" s="75">
        <v>0.10829999999999999</v>
      </c>
      <c r="S28" s="81">
        <v>0.41</v>
      </c>
      <c r="T28" s="83">
        <v>0.12970000000000001</v>
      </c>
      <c r="V28" s="75">
        <v>0.1179</v>
      </c>
      <c r="W28" s="81">
        <v>0.61</v>
      </c>
      <c r="X28" s="83">
        <v>0.10639999999999999</v>
      </c>
      <c r="Z28" s="75">
        <v>9.4E-2</v>
      </c>
      <c r="AA28" s="81">
        <v>0.47</v>
      </c>
      <c r="AB28" s="83">
        <v>0.12690000000000001</v>
      </c>
      <c r="AD28" s="75">
        <v>9.4600000000000004E-2</v>
      </c>
      <c r="AE28" s="81">
        <v>0.31</v>
      </c>
      <c r="AF28" s="83">
        <v>0.14349999999999999</v>
      </c>
      <c r="AH28" s="75">
        <v>0.1171</v>
      </c>
      <c r="AI28" s="81">
        <v>0.56999999999999995</v>
      </c>
      <c r="AJ28" s="83">
        <v>0.11940000000000001</v>
      </c>
      <c r="AL28" s="75">
        <v>8.2199999999999995E-2</v>
      </c>
      <c r="AM28" s="81">
        <v>0.25</v>
      </c>
      <c r="AN28" s="83">
        <v>0.15060000000000001</v>
      </c>
      <c r="AP28" s="75">
        <v>8.4400000000000003E-2</v>
      </c>
      <c r="AQ28" s="81">
        <v>0.21</v>
      </c>
      <c r="AR28" s="83">
        <v>0.1386</v>
      </c>
      <c r="AT28" s="75">
        <v>0.1082</v>
      </c>
      <c r="AU28" s="81">
        <v>0.56999999999999995</v>
      </c>
      <c r="AV28" s="83">
        <v>0.1221</v>
      </c>
      <c r="AX28" s="75">
        <v>0.1108</v>
      </c>
      <c r="AY28" s="81">
        <v>0.67</v>
      </c>
      <c r="AZ28" s="83">
        <v>9.8900000000000002E-2</v>
      </c>
    </row>
    <row r="29" spans="1:52" ht="16.8" x14ac:dyDescent="0.3">
      <c r="A29"/>
      <c r="B29" s="86" t="s">
        <v>11</v>
      </c>
      <c r="C29" s="78">
        <f>D26/D29-1</f>
        <v>13.859487179487177</v>
      </c>
      <c r="D29" s="29">
        <f>(N29+R29+V29+Z29+AD29+AH29+AL29+AP29+AT29+AX29)/10</f>
        <v>9.75E-3</v>
      </c>
      <c r="E29" s="29">
        <f>SQRT(((N29-D29)^2+(R29-D29)^2+(V29-D29)^2+(Z29-D29)^2+(AD29-D29)^2+(AH29-D29)^2+(AL29-D29)^2+(AP29-D29)^2+(AT29-D29)^2+(AX29-D29)^2)/10)</f>
        <v>5.4267854204860533E-4</v>
      </c>
      <c r="F29" s="79">
        <f>E29/D29</f>
        <v>5.5659337646010804E-2</v>
      </c>
      <c r="G29" s="15">
        <f>(O29+S29+W29+AA29+AE29+AI29+AM29+AQ29+AU29+AY29)/10</f>
        <v>0.29899999999999999</v>
      </c>
      <c r="H29" s="25">
        <f>SQRT(((O29-G29)^2+(S29-G29)^2+(W29-G29)^2+(AA29-G29)^2+(AE29-G29)^2+(AI29-G29)^2+(AM29-G29)^2+(AQ29-G29)^2+(AU29-G29)^2+(AY29-G29)^2)/10)</f>
        <v>5.6824290580701493E-2</v>
      </c>
      <c r="I29" s="31">
        <f>H29/G29</f>
        <v>0.19004779458428595</v>
      </c>
      <c r="J29" s="25">
        <f>(P29+T29+X29+AB29+AF29+AJ29+AN29+AR29+AV29+AZ29)/10</f>
        <v>1.6730000000000002E-2</v>
      </c>
      <c r="K29" s="25">
        <f>SQRT(((P29-J29)^2+(T29-J29)^2+(X29-J29)^2+(AB29-J29)^2+(AF29-J29)^2+(AJ29-J29)^2+(AN29-J29)^2+(AR29-J29)^2+(AV29-J29)^2+(AZ29-J29)^2)/10)</f>
        <v>2.4462420158275428E-3</v>
      </c>
      <c r="L29" s="31">
        <f>K29/J29</f>
        <v>0.1462188891708035</v>
      </c>
      <c r="N29" s="75">
        <v>1.01E-2</v>
      </c>
      <c r="O29" s="81">
        <v>0.43</v>
      </c>
      <c r="P29" s="25">
        <v>2.01E-2</v>
      </c>
      <c r="R29" s="75">
        <v>9.1000000000000004E-3</v>
      </c>
      <c r="S29" s="81">
        <v>0.25</v>
      </c>
      <c r="T29" s="83">
        <v>1.3899999999999999E-2</v>
      </c>
      <c r="V29" s="75">
        <v>9.4999999999999998E-3</v>
      </c>
      <c r="W29" s="81">
        <v>0.28999999999999998</v>
      </c>
      <c r="X29" s="83">
        <v>1.7000000000000001E-2</v>
      </c>
      <c r="Z29" s="75">
        <v>1.01E-2</v>
      </c>
      <c r="AA29" s="81">
        <v>0.35</v>
      </c>
      <c r="AB29" s="83">
        <v>2.0500000000000001E-2</v>
      </c>
      <c r="AD29" s="75">
        <v>1.01E-2</v>
      </c>
      <c r="AE29" s="81">
        <v>0.31</v>
      </c>
      <c r="AF29" s="83">
        <v>1.7899999999999999E-2</v>
      </c>
      <c r="AH29" s="75">
        <v>9.7999999999999997E-3</v>
      </c>
      <c r="AI29" s="81">
        <v>0.25</v>
      </c>
      <c r="AJ29" s="83">
        <v>1.52E-2</v>
      </c>
      <c r="AL29" s="75">
        <v>9.9000000000000008E-3</v>
      </c>
      <c r="AM29" s="81">
        <v>0.32</v>
      </c>
      <c r="AN29" s="83">
        <v>1.7399999999999999E-2</v>
      </c>
      <c r="AO29" s="34"/>
      <c r="AP29" s="84">
        <v>9.4999999999999998E-3</v>
      </c>
      <c r="AQ29" s="85">
        <v>0.27</v>
      </c>
      <c r="AR29" s="83">
        <v>1.4999999999999999E-2</v>
      </c>
      <c r="AT29" s="75">
        <v>8.6999999999999994E-3</v>
      </c>
      <c r="AU29" s="81">
        <v>0.22</v>
      </c>
      <c r="AV29" s="83">
        <v>1.2500000000000001E-2</v>
      </c>
      <c r="AX29" s="75">
        <v>1.0699999999999999E-2</v>
      </c>
      <c r="AY29" s="81">
        <v>0.3</v>
      </c>
      <c r="AZ29" s="83">
        <v>1.78E-2</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0.64143652687805441</v>
      </c>
      <c r="D33" s="29">
        <f>(N33+R33+V33+Z33+AD33+AH33+AL33+AP33+AT33+AX33)/10</f>
        <v>8.7989999999999999E-2</v>
      </c>
      <c r="E33" s="29">
        <f>SQRT(((N33-D33)^2+(R33-D33)^2+(V33-D33)^2+(Z33-D33)^2+(AD33-D33)^2+(AH33-D33)^2+(AL33-D33)^2+(AP33-D33)^2+(AT33-D33)^2+(AX33-D33)^2)/10)</f>
        <v>1.3087780560507569E-3</v>
      </c>
      <c r="F33" s="79">
        <f>E33/D33</f>
        <v>1.4874168156049063E-2</v>
      </c>
      <c r="G33" s="15">
        <f>(O33+S33+W33+AA33+AE33+AI33+AM33+AQ33+AU33+AY33)/10</f>
        <v>0.79500000000000004</v>
      </c>
      <c r="H33" s="25">
        <f>SQRT(((O33-G33)^2+(S33-G33)^2+(W33-G33)^2+(AA33-G33)^2+(AE33-G33)^2+(AI33-G33)^2+(AM33-G33)^2+(AQ33-G33)^2+(AU33-G33)^2+(AY33-G33)^2)/10)</f>
        <v>9.2195444572928959E-3</v>
      </c>
      <c r="I33" s="31">
        <f>H33/G33</f>
        <v>1.1596911267035088E-2</v>
      </c>
      <c r="J33" s="25">
        <f>(P33+T33+X33+AB33+AF33+AJ33+AN33+AR33+AV33+AZ33)/10</f>
        <v>7.2040000000000007E-2</v>
      </c>
      <c r="K33" s="25">
        <f>SQRT(((P33-J33)^2+(T33-J33)^2+(X33-J33)^2+(AB33-J33)^2+(AF33-J33)^2+(AJ33-J33)^2+(AN33-J33)^2+(AR33-J33)^2+(AV33-J33)^2+(AZ33-J33)^2)/10)</f>
        <v>8.1264998615639887E-4</v>
      </c>
      <c r="L33" s="31">
        <f>K33/J33</f>
        <v>1.1280538397506925E-2</v>
      </c>
      <c r="N33" s="75">
        <v>8.6900000000000005E-2</v>
      </c>
      <c r="O33" s="81">
        <v>0.8</v>
      </c>
      <c r="P33" s="25">
        <v>7.2599999999999998E-2</v>
      </c>
      <c r="R33" s="75">
        <v>8.6800000000000002E-2</v>
      </c>
      <c r="S33" s="81">
        <v>0.8</v>
      </c>
      <c r="T33" s="25">
        <v>7.2499999999999995E-2</v>
      </c>
      <c r="V33" s="75">
        <v>8.6900000000000005E-2</v>
      </c>
      <c r="W33" s="81">
        <v>0.8</v>
      </c>
      <c r="X33" s="25">
        <v>7.2599999999999998E-2</v>
      </c>
      <c r="Z33" s="75">
        <v>9.0200000000000002E-2</v>
      </c>
      <c r="AA33" s="81">
        <v>0.77</v>
      </c>
      <c r="AB33" s="25">
        <v>7.0000000000000007E-2</v>
      </c>
      <c r="AD33" s="75">
        <v>8.9700000000000002E-2</v>
      </c>
      <c r="AE33" s="81">
        <v>0.79</v>
      </c>
      <c r="AF33" s="25">
        <v>7.1400000000000005E-2</v>
      </c>
      <c r="AH33" s="75">
        <v>8.6800000000000002E-2</v>
      </c>
      <c r="AI33" s="81">
        <v>0.8</v>
      </c>
      <c r="AJ33" s="25">
        <v>7.2499999999999995E-2</v>
      </c>
      <c r="AL33" s="75">
        <v>8.6900000000000005E-2</v>
      </c>
      <c r="AM33" s="81">
        <v>0.8</v>
      </c>
      <c r="AN33" s="25">
        <v>7.2599999999999998E-2</v>
      </c>
      <c r="AP33" s="75">
        <v>8.7999999999999995E-2</v>
      </c>
      <c r="AQ33" s="81">
        <v>0.8</v>
      </c>
      <c r="AR33" s="25">
        <v>7.2400000000000006E-2</v>
      </c>
      <c r="AT33" s="75">
        <v>8.9700000000000002E-2</v>
      </c>
      <c r="AU33" s="81">
        <v>0.79</v>
      </c>
      <c r="AV33" s="25">
        <v>7.1400000000000005E-2</v>
      </c>
      <c r="AX33" s="75">
        <v>8.7999999999999995E-2</v>
      </c>
      <c r="AY33" s="81">
        <v>0.8</v>
      </c>
      <c r="AZ33" s="25">
        <v>7.2400000000000006E-2</v>
      </c>
    </row>
    <row r="34" spans="1:52" ht="33.6" x14ac:dyDescent="0.3">
      <c r="A34" s="3"/>
      <c r="B34" s="86" t="s">
        <v>46</v>
      </c>
      <c r="C34" s="80"/>
      <c r="D34" s="29">
        <f>(N34+R34+V34+Z34+AD34+AH34+AL34+AP34+AT34+AX34)/10</f>
        <v>0.14443</v>
      </c>
      <c r="E34" s="29">
        <f>SQRT(((N34-D34)^2+(R34-D34)^2+(V34-D34)^2+(Z34-D34)^2+(AD34-D34)^2+(AH34-D34)^2+(AL34-D34)^2+(AP34-D34)^2+(AT34-D34)^2+(AX34-D34)^2)/10)</f>
        <v>9.7148391649064334E-3</v>
      </c>
      <c r="F34" s="79">
        <f>E34/D34</f>
        <v>6.7263305164484061E-2</v>
      </c>
      <c r="G34" s="15">
        <f>(O34+S34+W34+AA34+AE34+AI34+AM34+AQ34+AU34+AY34)/10</f>
        <v>0.79</v>
      </c>
      <c r="H34" s="25">
        <f>SQRT(((O34-G34)^2+(S34-G34)^2+(W34-G34)^2+(AA34-G34)^2+(AE34-G34)^2+(AI34-G34)^2+(AM34-G34)^2+(AQ34-G34)^2+(AU34-G34)^2+(AY34-G34)^2)/10)</f>
        <v>1.7888543819998333E-2</v>
      </c>
      <c r="I34" s="62">
        <f>H34/G34</f>
        <v>2.2643726354428267E-2</v>
      </c>
      <c r="J34" s="25">
        <f>(P34+T34+X34+AB34+AF34+AJ34+AN34+AR34+AV34+AZ34)/10</f>
        <v>8.2719999999999988E-2</v>
      </c>
      <c r="K34" s="25">
        <f>SQRT(((P34-J34)^2+(T34-J34)^2+(X34-J34)^2+(AB34-J34)^2+(AF34-J34)^2+(AJ34-J34)^2+(AN34-J34)^2+(AR34-J34)^2+(AV34-J34)^2+(AZ34-J34)^2)/10)</f>
        <v>2.6820887382784358E-3</v>
      </c>
      <c r="L34" s="62">
        <f>K34/J34</f>
        <v>3.2423703315745116E-2</v>
      </c>
      <c r="N34" s="75">
        <v>0.14299999999999999</v>
      </c>
      <c r="O34" s="81">
        <v>0.81</v>
      </c>
      <c r="P34" s="25">
        <v>8.2400000000000001E-2</v>
      </c>
      <c r="R34" s="75">
        <v>0.13389999999999999</v>
      </c>
      <c r="S34" s="81">
        <v>0.76</v>
      </c>
      <c r="T34" s="25">
        <v>0.08</v>
      </c>
      <c r="V34" s="75">
        <v>0.14080000000000001</v>
      </c>
      <c r="W34" s="81">
        <v>0.79</v>
      </c>
      <c r="X34" s="25">
        <v>8.0199999999999994E-2</v>
      </c>
      <c r="Z34" s="75">
        <v>0.13200000000000001</v>
      </c>
      <c r="AA34" s="81">
        <v>0.78</v>
      </c>
      <c r="AB34" s="25">
        <v>8.3699999999999997E-2</v>
      </c>
      <c r="AD34" s="75">
        <v>0.15640000000000001</v>
      </c>
      <c r="AE34" s="81">
        <v>0.81</v>
      </c>
      <c r="AF34" s="25">
        <v>8.6400000000000005E-2</v>
      </c>
      <c r="AH34" s="75">
        <v>0.15359999999999999</v>
      </c>
      <c r="AI34" s="81">
        <v>0.79</v>
      </c>
      <c r="AJ34" s="25">
        <v>7.9399999999999998E-2</v>
      </c>
      <c r="AL34" s="75">
        <v>0.1404</v>
      </c>
      <c r="AM34" s="81">
        <v>0.8</v>
      </c>
      <c r="AN34" s="25">
        <v>8.1299999999999997E-2</v>
      </c>
      <c r="AP34" s="75">
        <v>0.13350000000000001</v>
      </c>
      <c r="AQ34" s="81">
        <v>0.76</v>
      </c>
      <c r="AR34" s="25">
        <v>8.1000000000000003E-2</v>
      </c>
      <c r="AT34" s="75">
        <v>0.16089999999999999</v>
      </c>
      <c r="AU34" s="81">
        <v>0.79</v>
      </c>
      <c r="AV34" s="25">
        <v>8.5900000000000004E-2</v>
      </c>
      <c r="AX34" s="75">
        <v>0.14979999999999999</v>
      </c>
      <c r="AY34" s="81">
        <v>0.81</v>
      </c>
      <c r="AZ34" s="25">
        <v>8.6900000000000005E-2</v>
      </c>
    </row>
    <row r="35" spans="1:52" ht="16.8" x14ac:dyDescent="0.3">
      <c r="B35" s="86" t="s">
        <v>5</v>
      </c>
      <c r="C35" s="78">
        <f>D34/D35-1</f>
        <v>1.0001384849743804</v>
      </c>
      <c r="D35" s="29">
        <f>(N35+R35+V35+Z35+AD35+AH35+AL35+AP35+AT35+AX35)/10</f>
        <v>7.2209999999999996E-2</v>
      </c>
      <c r="E35" s="29">
        <f>SQRT(((N35-D35)^2+(R35-D35)^2+(V35-D35)^2+(Z35-D35)^2+(AD35-D35)^2+(AH35-D35)^2+(AL35-D35)^2+(AP35-D35)^2+(AT35-D35)^2+(AX35-D35)^2)/10)</f>
        <v>2.8507207860469258E-2</v>
      </c>
      <c r="F35" s="79">
        <f>E35/D35</f>
        <v>0.39478199502103944</v>
      </c>
      <c r="G35" s="15">
        <f>(O35+S35+W35+AA35+AE35+AI35+AM35+AQ35+AU35+AY35)/10</f>
        <v>0.32600000000000001</v>
      </c>
      <c r="H35" s="25">
        <f>SQRT(((O35-G35)^2+(S35-G35)^2+(W35-G35)^2+(AA35-G35)^2+(AE35-G35)^2+(AI35-G35)^2+(AM35-G35)^2+(AQ35-G35)^2+(AU35-G35)^2+(AY35-G35)^2)/10)</f>
        <v>0.3658469625403496</v>
      </c>
      <c r="I35" s="31">
        <f>H35/G35</f>
        <v>1.1222299464427901</v>
      </c>
      <c r="J35" s="25">
        <f>(P35+T35+X35+AB35+AF35+AJ35+AN35+AR35+AV35+AZ35)/10</f>
        <v>6.7970000000000003E-2</v>
      </c>
      <c r="K35" s="25">
        <f>SQRT(((P35-J35)^2+(T35-J35)^2+(X35-J35)^2+(AB35-J35)^2+(AF35-J35)^2+(AJ35-J35)^2+(AN35-J35)^2+(AR35-J35)^2+(AV35-J35)^2+(AZ35-J35)^2)/10)</f>
        <v>6.1533926414621062E-2</v>
      </c>
      <c r="L35" s="31">
        <f>K35/J35</f>
        <v>0.90531008407563718</v>
      </c>
      <c r="N35" s="75">
        <v>0.10199999999999999</v>
      </c>
      <c r="O35" s="25">
        <v>1</v>
      </c>
      <c r="P35" s="25">
        <v>2.18E-2</v>
      </c>
      <c r="R35" s="75">
        <v>0.12820000000000001</v>
      </c>
      <c r="S35" s="81">
        <v>1</v>
      </c>
      <c r="T35" s="82">
        <v>2.18E-2</v>
      </c>
      <c r="V35" s="75">
        <v>6.6900000000000001E-2</v>
      </c>
      <c r="W35" s="81">
        <v>0</v>
      </c>
      <c r="X35" s="82">
        <v>0</v>
      </c>
      <c r="Z35" s="75">
        <v>7.3899999999999993E-2</v>
      </c>
      <c r="AA35" s="81">
        <v>0.43</v>
      </c>
      <c r="AB35" s="82">
        <v>0.1004</v>
      </c>
      <c r="AD35" s="75">
        <v>6.88E-2</v>
      </c>
      <c r="AE35" s="81">
        <v>0</v>
      </c>
      <c r="AF35" s="82">
        <v>0</v>
      </c>
      <c r="AH35" s="75">
        <v>8.6400000000000005E-2</v>
      </c>
      <c r="AI35" s="81">
        <v>0.12</v>
      </c>
      <c r="AJ35" s="82">
        <v>0.15579999999999999</v>
      </c>
      <c r="AL35" s="75">
        <v>5.9700000000000003E-2</v>
      </c>
      <c r="AM35" s="81">
        <v>0.11</v>
      </c>
      <c r="AN35" s="82">
        <v>0.10580000000000001</v>
      </c>
      <c r="AP35" s="75">
        <v>6.2399999999999997E-2</v>
      </c>
      <c r="AQ35" s="81">
        <v>0.23</v>
      </c>
      <c r="AR35" s="82">
        <v>0.13730000000000001</v>
      </c>
      <c r="AT35" s="75">
        <v>1.3299999999999999E-2</v>
      </c>
      <c r="AU35" s="81">
        <v>0</v>
      </c>
      <c r="AV35" s="82">
        <v>0</v>
      </c>
      <c r="AX35" s="75">
        <v>6.0499999999999998E-2</v>
      </c>
      <c r="AY35" s="81">
        <v>0.37</v>
      </c>
      <c r="AZ35" s="82">
        <v>0.1368</v>
      </c>
    </row>
    <row r="36" spans="1:52" ht="16.8" x14ac:dyDescent="0.3">
      <c r="B36" s="86" t="s">
        <v>1</v>
      </c>
      <c r="C36" s="87">
        <f>D34/D36-1</f>
        <v>0.42661003555906762</v>
      </c>
      <c r="D36" s="29">
        <f>(N36+R36+V36+Z36+AD36+AH36+AL36+AP36+AT36+AX36)/10</f>
        <v>0.10124</v>
      </c>
      <c r="E36" s="29">
        <f>SQRT(((N36-D36)^2+(R36-D36)^2+(V36-D36)^2+(Z36-D36)^2+(AD36-D36)^2+(AH36-D36)^2+(AL36-D36)^2+(AP36-D36)^2+(AT36-D36)^2+(AX36-D36)^2)/10)</f>
        <v>1.2253913660541273E-2</v>
      </c>
      <c r="F36" s="79">
        <f>E36/D36</f>
        <v>0.12103826215469451</v>
      </c>
      <c r="G36" s="15">
        <f>(O36+S36+W36+AA36+AE36+AI36+AM36+AQ36+AU36+AY36)/10</f>
        <v>0.46299999999999997</v>
      </c>
      <c r="H36" s="25">
        <f>SQRT(((O36-G36)^2+(S36-G36)^2+(W36-G36)^2+(AA36-G36)^2+(AE36-G36)^2+(AI36-G36)^2+(AM36-G36)^2+(AQ36-G36)^2+(AU36-G36)^2+(AY36-G36)^2)/10)</f>
        <v>0.15244999180059013</v>
      </c>
      <c r="I36" s="31">
        <f>H36/G36</f>
        <v>0.32926564103799166</v>
      </c>
      <c r="J36" s="25">
        <f>(P36+T36+X36+AB36+AF36+AJ36+AN36+AR36+AV36+AZ36)/10</f>
        <v>0.12503000000000003</v>
      </c>
      <c r="K36" s="25">
        <f>SQRT(((P36-J36)^2+(T36-J36)^2+(X36-J36)^2+(AB36-J36)^2+(AF36-J36)^2+(AJ36-J36)^2+(AN36-J36)^2+(AR36-J36)^2+(AV36-J36)^2+(AZ36-J36)^2)/10)</f>
        <v>1.5465577907081262E-2</v>
      </c>
      <c r="L36" s="31">
        <f>K36/J36</f>
        <v>0.1236949364718968</v>
      </c>
      <c r="N36" s="75">
        <v>9.4899999999999998E-2</v>
      </c>
      <c r="O36" s="25">
        <v>0.56000000000000005</v>
      </c>
      <c r="P36" s="25">
        <v>0.1142</v>
      </c>
      <c r="R36" s="75">
        <v>0.10829999999999999</v>
      </c>
      <c r="S36" s="81">
        <v>0.41</v>
      </c>
      <c r="T36" s="83">
        <v>0.12970000000000001</v>
      </c>
      <c r="V36" s="75">
        <v>0.1179</v>
      </c>
      <c r="W36" s="81">
        <v>0.61</v>
      </c>
      <c r="X36" s="83">
        <v>0.10639999999999999</v>
      </c>
      <c r="Z36" s="75">
        <v>9.4E-2</v>
      </c>
      <c r="AA36" s="81">
        <v>0.47</v>
      </c>
      <c r="AB36" s="83">
        <v>0.12690000000000001</v>
      </c>
      <c r="AD36" s="75">
        <v>9.4600000000000004E-2</v>
      </c>
      <c r="AE36" s="81">
        <v>0.31</v>
      </c>
      <c r="AF36" s="83">
        <v>0.14349999999999999</v>
      </c>
      <c r="AH36" s="75">
        <v>0.1171</v>
      </c>
      <c r="AI36" s="81">
        <v>0.56999999999999995</v>
      </c>
      <c r="AJ36" s="83">
        <v>0.11940000000000001</v>
      </c>
      <c r="AL36" s="75">
        <v>8.2199999999999995E-2</v>
      </c>
      <c r="AM36" s="81">
        <v>0.25</v>
      </c>
      <c r="AN36" s="83">
        <v>0.15060000000000001</v>
      </c>
      <c r="AP36" s="75">
        <v>8.4400000000000003E-2</v>
      </c>
      <c r="AQ36" s="81">
        <v>0.21</v>
      </c>
      <c r="AR36" s="83">
        <v>0.1386</v>
      </c>
      <c r="AT36" s="75">
        <v>0.1082</v>
      </c>
      <c r="AU36" s="81">
        <v>0.56999999999999995</v>
      </c>
      <c r="AV36" s="83">
        <v>0.1221</v>
      </c>
      <c r="AX36" s="75">
        <v>0.1108</v>
      </c>
      <c r="AY36" s="81">
        <v>0.67</v>
      </c>
      <c r="AZ36" s="83">
        <v>9.8900000000000002E-2</v>
      </c>
    </row>
    <row r="37" spans="1:52" ht="16.8" x14ac:dyDescent="0.3">
      <c r="B37" s="86" t="s">
        <v>11</v>
      </c>
      <c r="C37" s="78">
        <f>D34/D37-1</f>
        <v>13.813333333333334</v>
      </c>
      <c r="D37" s="29">
        <f>(N37+R37+V37+Z37+AD37+AH37+AL37+AP37+AT37+AX37)/10</f>
        <v>9.75E-3</v>
      </c>
      <c r="E37" s="29">
        <f>SQRT(((N37-D37)^2+(R37-D37)^2+(V37-D37)^2+(Z37-D37)^2+(AD37-D37)^2+(AH37-D37)^2+(AL37-D37)^2+(AP37-D37)^2+(AT37-D37)^2+(AX37-D37)^2)/10)</f>
        <v>5.4267854204860533E-4</v>
      </c>
      <c r="F37" s="79">
        <f>E37/D37</f>
        <v>5.5659337646010804E-2</v>
      </c>
      <c r="G37" s="15">
        <f>(O37+S37+W37+AA37+AE37+AI37+AM37+AQ37+AU37+AY37)/10</f>
        <v>0.29899999999999999</v>
      </c>
      <c r="H37" s="25">
        <f>SQRT(((O37-G37)^2+(S37-G37)^2+(W37-G37)^2+(AA37-G37)^2+(AE37-G37)^2+(AI37-G37)^2+(AM37-G37)^2+(AQ37-G37)^2+(AU37-G37)^2+(AY37-G37)^2)/10)</f>
        <v>5.6824290580701493E-2</v>
      </c>
      <c r="I37" s="31">
        <f>H37/G37</f>
        <v>0.19004779458428595</v>
      </c>
      <c r="J37" s="25">
        <f>(P37+T37+X37+AB37+AF37+AJ37+AN37+AR37+AV37+AZ37)/10</f>
        <v>1.6730000000000002E-2</v>
      </c>
      <c r="K37" s="25">
        <f>SQRT(((P37-J37)^2+(T37-J37)^2+(X37-J37)^2+(AB37-J37)^2+(AF37-J37)^2+(AJ37-J37)^2+(AN37-J37)^2+(AR37-J37)^2+(AV37-J37)^2+(AZ37-J37)^2)/10)</f>
        <v>2.4462420158275428E-3</v>
      </c>
      <c r="L37" s="31">
        <f>K37/J37</f>
        <v>0.1462188891708035</v>
      </c>
      <c r="N37" s="75">
        <v>1.01E-2</v>
      </c>
      <c r="O37" s="81">
        <v>0.43</v>
      </c>
      <c r="P37" s="25">
        <v>2.01E-2</v>
      </c>
      <c r="R37" s="75">
        <v>9.1000000000000004E-3</v>
      </c>
      <c r="S37" s="81">
        <v>0.25</v>
      </c>
      <c r="T37" s="83">
        <v>1.3899999999999999E-2</v>
      </c>
      <c r="V37" s="75">
        <v>9.4999999999999998E-3</v>
      </c>
      <c r="W37" s="81">
        <v>0.28999999999999998</v>
      </c>
      <c r="X37" s="83">
        <v>1.7000000000000001E-2</v>
      </c>
      <c r="Z37" s="75">
        <v>1.01E-2</v>
      </c>
      <c r="AA37" s="81">
        <v>0.35</v>
      </c>
      <c r="AB37" s="83">
        <v>2.0500000000000001E-2</v>
      </c>
      <c r="AD37" s="75">
        <v>1.01E-2</v>
      </c>
      <c r="AE37" s="81">
        <v>0.31</v>
      </c>
      <c r="AF37" s="83">
        <v>1.7899999999999999E-2</v>
      </c>
      <c r="AH37" s="75">
        <v>9.7999999999999997E-3</v>
      </c>
      <c r="AI37" s="81">
        <v>0.25</v>
      </c>
      <c r="AJ37" s="83">
        <v>1.52E-2</v>
      </c>
      <c r="AL37" s="75">
        <v>9.9000000000000008E-3</v>
      </c>
      <c r="AM37" s="81">
        <v>0.32</v>
      </c>
      <c r="AN37" s="83">
        <v>1.7399999999999999E-2</v>
      </c>
      <c r="AO37" s="34"/>
      <c r="AP37" s="84">
        <v>9.4999999999999998E-3</v>
      </c>
      <c r="AQ37" s="85">
        <v>0.27</v>
      </c>
      <c r="AR37" s="83">
        <v>1.4999999999999999E-2</v>
      </c>
      <c r="AT37" s="75">
        <v>8.6999999999999994E-3</v>
      </c>
      <c r="AU37" s="81">
        <v>0.22</v>
      </c>
      <c r="AV37" s="83">
        <v>1.2500000000000001E-2</v>
      </c>
      <c r="AX37" s="75">
        <v>1.0699999999999999E-2</v>
      </c>
      <c r="AY37" s="81">
        <v>0.3</v>
      </c>
      <c r="AZ37" s="83">
        <v>1.78E-2</v>
      </c>
    </row>
  </sheetData>
  <mergeCells count="110">
    <mergeCell ref="C7:C8"/>
    <mergeCell ref="D7:F7"/>
    <mergeCell ref="AH6:AJ6"/>
    <mergeCell ref="AL6:AN6"/>
    <mergeCell ref="AP6:AR6"/>
    <mergeCell ref="AT6:AV6"/>
    <mergeCell ref="AT7:AT8"/>
    <mergeCell ref="AU7:AV7"/>
    <mergeCell ref="AX7:AX8"/>
    <mergeCell ref="N5:AZ5"/>
    <mergeCell ref="G6:K6"/>
    <mergeCell ref="N6:P6"/>
    <mergeCell ref="R6:T6"/>
    <mergeCell ref="V6:X6"/>
    <mergeCell ref="N7:N8"/>
    <mergeCell ref="O7:P7"/>
    <mergeCell ref="R7:R8"/>
    <mergeCell ref="S7:T7"/>
    <mergeCell ref="AX6:AZ6"/>
    <mergeCell ref="V7:V8"/>
    <mergeCell ref="W7:X7"/>
    <mergeCell ref="Z7:Z8"/>
    <mergeCell ref="AA7:AB7"/>
    <mergeCell ref="AD7:AD8"/>
    <mergeCell ref="AE7:AF7"/>
    <mergeCell ref="G7:I7"/>
    <mergeCell ref="J7:L7"/>
    <mergeCell ref="Z6:AB6"/>
    <mergeCell ref="AD6:AF6"/>
    <mergeCell ref="AT15:AT16"/>
    <mergeCell ref="AU15:AV15"/>
    <mergeCell ref="AY7:AZ7"/>
    <mergeCell ref="AH7:AH8"/>
    <mergeCell ref="AI7:AJ7"/>
    <mergeCell ref="AL7:AL8"/>
    <mergeCell ref="AM7:AN7"/>
    <mergeCell ref="AP7:AP8"/>
    <mergeCell ref="AQ7:AR7"/>
    <mergeCell ref="AT23:AT24"/>
    <mergeCell ref="AU23:AV23"/>
    <mergeCell ref="AX15:AX16"/>
    <mergeCell ref="AY15:AZ15"/>
    <mergeCell ref="C15:C16"/>
    <mergeCell ref="D15:F15"/>
    <mergeCell ref="G15:I15"/>
    <mergeCell ref="J15:L15"/>
    <mergeCell ref="N15:N16"/>
    <mergeCell ref="O15:P15"/>
    <mergeCell ref="R15:R16"/>
    <mergeCell ref="S15:T15"/>
    <mergeCell ref="V15:V16"/>
    <mergeCell ref="W15:X15"/>
    <mergeCell ref="Z15:Z16"/>
    <mergeCell ref="AA15:AB15"/>
    <mergeCell ref="AD15:AD16"/>
    <mergeCell ref="AE15:AF15"/>
    <mergeCell ref="AH15:AH16"/>
    <mergeCell ref="AI15:AJ15"/>
    <mergeCell ref="AL15:AL16"/>
    <mergeCell ref="AM15:AN15"/>
    <mergeCell ref="AP15:AP16"/>
    <mergeCell ref="AQ15:AR15"/>
    <mergeCell ref="AT31:AT32"/>
    <mergeCell ref="AU31:AV31"/>
    <mergeCell ref="AX23:AX24"/>
    <mergeCell ref="AY23:AZ23"/>
    <mergeCell ref="C23:C24"/>
    <mergeCell ref="D23:F23"/>
    <mergeCell ref="G23:I23"/>
    <mergeCell ref="J23:L23"/>
    <mergeCell ref="N23:N24"/>
    <mergeCell ref="O23:P23"/>
    <mergeCell ref="R23:R24"/>
    <mergeCell ref="S23:T23"/>
    <mergeCell ref="V23:V24"/>
    <mergeCell ref="W23:X23"/>
    <mergeCell ref="Z23:Z24"/>
    <mergeCell ref="AA23:AB23"/>
    <mergeCell ref="AD23:AD24"/>
    <mergeCell ref="AE23:AF23"/>
    <mergeCell ref="AH23:AH24"/>
    <mergeCell ref="AI23:AJ23"/>
    <mergeCell ref="AL23:AL24"/>
    <mergeCell ref="AM23:AN23"/>
    <mergeCell ref="AP23:AP24"/>
    <mergeCell ref="AQ23:AR23"/>
    <mergeCell ref="B2:AZ2"/>
    <mergeCell ref="B3:AZ3"/>
    <mergeCell ref="AX31:AX32"/>
    <mergeCell ref="AY31:AZ31"/>
    <mergeCell ref="C31:C32"/>
    <mergeCell ref="D31:F31"/>
    <mergeCell ref="G31:I31"/>
    <mergeCell ref="J31:L31"/>
    <mergeCell ref="N31:N32"/>
    <mergeCell ref="O31:P31"/>
    <mergeCell ref="R31:R32"/>
    <mergeCell ref="S31:T31"/>
    <mergeCell ref="V31:V32"/>
    <mergeCell ref="W31:X31"/>
    <mergeCell ref="Z31:Z32"/>
    <mergeCell ref="AA31:AB31"/>
    <mergeCell ref="AD31:AD32"/>
    <mergeCell ref="AE31:AF31"/>
    <mergeCell ref="AH31:AH32"/>
    <mergeCell ref="AI31:AJ31"/>
    <mergeCell ref="AL31:AL32"/>
    <mergeCell ref="AM31:AN31"/>
    <mergeCell ref="AP31:AP32"/>
    <mergeCell ref="AQ31:AR3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1942-293A-43E5-B7BC-DD1B7D200507}">
  <dimension ref="A1:AZ37"/>
  <sheetViews>
    <sheetView topLeftCell="B1"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67.2" customHeight="1" x14ac:dyDescent="0.3">
      <c r="B2" s="164" t="s">
        <v>51</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36" customHeight="1" x14ac:dyDescent="0.3">
      <c r="B3" s="164" t="s">
        <v>50</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1.6999999999999999E-3</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-6.3357509821698743E-2</v>
      </c>
      <c r="D9" s="29">
        <f>(N9+R9+V9+Z9+AD9+AH9+AL9+AP9+AT9+AX9)/10</f>
        <v>0.66180000000000017</v>
      </c>
      <c r="E9" s="29">
        <f>SQRT(((N9-D9)^2+(R9-D9)^2+(V9-D9)^2+(Z9-D9)^2+(AD9-D9)^2+(AH9-D9)^2+(AL9-D9)^2+(AP9-D9)^2+(AT9-D9)^2+(AX9-D9)^2)/10)</f>
        <v>1.1102230246251565E-16</v>
      </c>
      <c r="F9" s="79">
        <f>E9/D9</f>
        <v>1.6775808773423335E-16</v>
      </c>
      <c r="G9" s="15">
        <f>(O9+S9+W9+AA9+AE9+AI9+AM9+AQ9+AU9+AY9)/10</f>
        <v>0.88000000000000012</v>
      </c>
      <c r="H9" s="25">
        <f>SQRT(((O9-G9)^2+(S9-G9)^2+(W9-G9)^2+(AA9-G9)^2+(AE9-G9)^2+(AI9-G9)^2+(AM9-G9)^2+(AQ9-G9)^2+(AU9-G9)^2+(AY9-G9)^2)/10)</f>
        <v>1.1102230246251565E-16</v>
      </c>
      <c r="I9" s="31">
        <f>H9/G9</f>
        <v>1.2616170734376778E-16</v>
      </c>
      <c r="J9" s="25">
        <f>(P9+T9+X9+AB9+AF9+AJ9+AN9+AR9+AV9+AZ9)/10</f>
        <v>0.1099</v>
      </c>
      <c r="K9" s="25">
        <f>SQRT(((P9-J9)^2+(T9-J9)^2+(X9-J9)^2+(AB9-J9)^2+(AF9-J9)^2+(AJ9-J9)^2+(AN9-J9)^2+(AR9-J9)^2+(AV9-J9)^2+(AZ9-J9)^2)/10)</f>
        <v>0</v>
      </c>
      <c r="L9" s="31">
        <f>K9/J9</f>
        <v>0</v>
      </c>
      <c r="N9" s="75">
        <v>0.66180000000000005</v>
      </c>
      <c r="O9" s="81">
        <v>0.88</v>
      </c>
      <c r="P9" s="25">
        <v>0.1099</v>
      </c>
      <c r="R9" s="75">
        <v>0.66180000000000005</v>
      </c>
      <c r="S9" s="81">
        <v>0.88</v>
      </c>
      <c r="T9" s="25">
        <v>0.1099</v>
      </c>
      <c r="V9" s="75">
        <v>0.66180000000000005</v>
      </c>
      <c r="W9" s="81">
        <v>0.88</v>
      </c>
      <c r="X9" s="25">
        <v>0.1099</v>
      </c>
      <c r="Z9" s="75">
        <v>0.66180000000000005</v>
      </c>
      <c r="AA9" s="81">
        <v>0.88</v>
      </c>
      <c r="AB9" s="25">
        <v>0.1099</v>
      </c>
      <c r="AD9" s="75">
        <v>0.66180000000000005</v>
      </c>
      <c r="AE9" s="81">
        <v>0.88</v>
      </c>
      <c r="AF9" s="25">
        <v>0.1099</v>
      </c>
      <c r="AH9" s="75">
        <v>0.66180000000000005</v>
      </c>
      <c r="AI9" s="81">
        <v>0.88</v>
      </c>
      <c r="AJ9" s="25">
        <v>0.1099</v>
      </c>
      <c r="AL9" s="75">
        <v>0.66180000000000005</v>
      </c>
      <c r="AM9" s="81">
        <v>0.88</v>
      </c>
      <c r="AN9" s="25">
        <v>0.1099</v>
      </c>
      <c r="AP9" s="75">
        <v>0.66180000000000005</v>
      </c>
      <c r="AQ9" s="81">
        <v>0.88</v>
      </c>
      <c r="AR9" s="25">
        <v>0.1099</v>
      </c>
      <c r="AT9" s="75">
        <v>0.66180000000000005</v>
      </c>
      <c r="AU9" s="81">
        <v>0.88</v>
      </c>
      <c r="AV9" s="25">
        <v>0.1099</v>
      </c>
      <c r="AX9" s="75">
        <v>0.66180000000000005</v>
      </c>
      <c r="AY9" s="81">
        <v>0.88</v>
      </c>
      <c r="AZ9" s="25">
        <v>0.1099</v>
      </c>
    </row>
    <row r="10" spans="1:52" ht="37.799999999999997" customHeight="1" x14ac:dyDescent="0.3">
      <c r="A10" s="7"/>
      <c r="B10" s="86" t="s">
        <v>17</v>
      </c>
      <c r="C10" s="80"/>
      <c r="D10" s="29">
        <f>(N10+R10+V10+Z10+AD10+AH10+AL10+AP10+AT10+AX10)/10</f>
        <v>0.61986999999999992</v>
      </c>
      <c r="E10" s="29">
        <f>SQRT(((N10-D10)^2+(R10-D10)^2+(V10-D10)^2+(Z10-D10)^2+(AD10-D10)^2+(AH10-D10)^2+(AL10-D10)^2+(AP10-D10)^2+(AT10-D10)^2+(AX10-D10)^2)/10)</f>
        <v>5.898386304744712E-2</v>
      </c>
      <c r="F10" s="79">
        <f>E10/D10</f>
        <v>9.5155214879647551E-2</v>
      </c>
      <c r="G10" s="15">
        <f>(O10+S10+W10+AA10+AE10+AI10+AM10+AQ10+AU10+AY10)/10</f>
        <v>0.875</v>
      </c>
      <c r="H10" s="25">
        <f>SQRT(((O10-G10)^2+(S10-G10)^2+(W10-G10)^2+(AA10-G10)^2+(AE10-G10)^2+(AI10-G10)^2+(AM10-G10)^2+(AQ10-G10)^2+(AU10-G10)^2+(AY10-G10)^2)/10)</f>
        <v>1.4317821063276366E-2</v>
      </c>
      <c r="I10" s="62">
        <f>H10/G10</f>
        <v>1.6363224072315847E-2</v>
      </c>
      <c r="J10" s="25">
        <f>(P10+T10+X10+AB10+AF10+AJ10+AN10+AR10+AV10+AZ10)/10</f>
        <v>9.0200000000000016E-2</v>
      </c>
      <c r="K10" s="25">
        <f>SQRT(((P10-J10)^2+(T10-J10)^2+(X10-J10)^2+(AB10-J10)^2+(AF10-J10)^2+(AJ10-J10)^2+(AN10-J10)^2+(AR10-J10)^2+(AV10-J10)^2+(AZ10-J10)^2)/10)</f>
        <v>6.6947740813264201E-3</v>
      </c>
      <c r="L10" s="62">
        <f>K10/J10</f>
        <v>7.4221442143308419E-2</v>
      </c>
      <c r="N10" s="75">
        <v>0.70089999999999997</v>
      </c>
      <c r="O10" s="25">
        <v>0.9</v>
      </c>
      <c r="P10" s="25">
        <v>9.7900000000000001E-2</v>
      </c>
      <c r="R10" s="75">
        <v>0.64339999999999997</v>
      </c>
      <c r="S10" s="81">
        <v>0.89</v>
      </c>
      <c r="T10" s="25">
        <v>0.1009</v>
      </c>
      <c r="V10" s="75">
        <v>0.65069999999999995</v>
      </c>
      <c r="W10" s="81">
        <v>0.88</v>
      </c>
      <c r="X10" s="25">
        <v>9.0200000000000002E-2</v>
      </c>
      <c r="Z10" s="75">
        <v>0.67779999999999996</v>
      </c>
      <c r="AA10" s="81">
        <v>0.86</v>
      </c>
      <c r="AB10" s="25">
        <v>8.2900000000000001E-2</v>
      </c>
      <c r="AD10" s="75">
        <v>0.48780000000000001</v>
      </c>
      <c r="AE10" s="81">
        <v>0.88</v>
      </c>
      <c r="AF10" s="25">
        <v>9.0700000000000003E-2</v>
      </c>
      <c r="AH10" s="75">
        <v>0.57530000000000003</v>
      </c>
      <c r="AI10" s="81">
        <v>0.86</v>
      </c>
      <c r="AJ10" s="25">
        <v>9.7500000000000003E-2</v>
      </c>
      <c r="AL10" s="75">
        <v>0.62460000000000004</v>
      </c>
      <c r="AM10" s="81">
        <v>0.87</v>
      </c>
      <c r="AN10" s="25">
        <v>8.5300000000000001E-2</v>
      </c>
      <c r="AP10" s="75">
        <v>0.65780000000000005</v>
      </c>
      <c r="AQ10" s="81">
        <v>0.89</v>
      </c>
      <c r="AR10" s="25">
        <v>9.2499999999999999E-2</v>
      </c>
      <c r="AT10" s="75">
        <v>0.60909999999999997</v>
      </c>
      <c r="AU10" s="81">
        <v>0.86</v>
      </c>
      <c r="AV10" s="25">
        <v>8.3699999999999997E-2</v>
      </c>
      <c r="AX10" s="75">
        <v>0.57130000000000003</v>
      </c>
      <c r="AY10" s="81">
        <v>0.86</v>
      </c>
      <c r="AZ10" s="25">
        <v>8.0399999999999999E-2</v>
      </c>
    </row>
    <row r="11" spans="1:52" ht="18" customHeight="1" x14ac:dyDescent="0.3">
      <c r="A11" s="7"/>
      <c r="B11" s="86" t="s">
        <v>5</v>
      </c>
      <c r="C11" s="78">
        <f>D10/D11-1</f>
        <v>22.979497098646032</v>
      </c>
      <c r="D11" s="29">
        <f>(N11+R11+V11+Z11+AD11+AH11+AL11+AP11+AT11+AX11)/10</f>
        <v>2.5850000000000001E-2</v>
      </c>
      <c r="E11" s="29">
        <f>SQRT(((N11-D11)^2+(R11-D11)^2+(V11-D11)^2+(Z11-D11)^2+(AD11-D11)^2+(AH11-D11)^2+(AL11-D11)^2+(AP11-D11)^2+(AT11-D11)^2+(AX11-D11)^2)/10)</f>
        <v>3.5236891179557826E-2</v>
      </c>
      <c r="F11" s="79">
        <f>E11/D11</f>
        <v>1.3631292525941132</v>
      </c>
      <c r="G11" s="15">
        <f>(O11+S11+W11+AA11+AE11+AI11+AM11+AQ11+AU11+AY11)/10</f>
        <v>0</v>
      </c>
      <c r="H11" s="25">
        <f>SQRT(((O11-G11)^2+(S11-G11)^2+(W11-G11)^2+(AA11-G11)^2+(AE11-G11)^2+(AI11-G11)^2+(AM11-G11)^2+(AQ11-G11)^2+(AU11-G11)^2+(AY11-G11)^2)/10)</f>
        <v>0</v>
      </c>
      <c r="I11" s="31" t="e">
        <f>H11/G11</f>
        <v>#DIV/0!</v>
      </c>
      <c r="J11" s="25">
        <f>(P11+T11+X11+AB11+AF11+AJ11+AN11+AR11+AV11+AZ11)/10</f>
        <v>0</v>
      </c>
      <c r="K11" s="25">
        <f>SQRT(((P11-J11)^2+(T11-J11)^2+(X11-J11)^2+(AB11-J11)^2+(AF11-J11)^2+(AJ11-J11)^2+(AN11-J11)^2+(AR11-J11)^2+(AV11-J11)^2+(AZ11-J11)^2)/10)</f>
        <v>0</v>
      </c>
      <c r="L11" s="31" t="e">
        <f>K11/J11</f>
        <v>#DIV/0!</v>
      </c>
      <c r="N11" s="75">
        <v>6.7000000000000002E-3</v>
      </c>
      <c r="O11" s="25">
        <v>0</v>
      </c>
      <c r="P11" s="25">
        <v>0</v>
      </c>
      <c r="R11" s="75">
        <v>1.8200000000000001E-2</v>
      </c>
      <c r="S11" s="81">
        <v>0</v>
      </c>
      <c r="T11" s="82">
        <v>0</v>
      </c>
      <c r="V11" s="75">
        <v>5.11E-2</v>
      </c>
      <c r="W11" s="81">
        <v>0</v>
      </c>
      <c r="X11" s="82">
        <v>0</v>
      </c>
      <c r="Z11" s="75">
        <v>0.107</v>
      </c>
      <c r="AA11" s="81">
        <v>0</v>
      </c>
      <c r="AB11" s="82">
        <v>0</v>
      </c>
      <c r="AD11" s="75">
        <v>1.6000000000000001E-3</v>
      </c>
      <c r="AE11" s="81">
        <v>0</v>
      </c>
      <c r="AF11" s="82">
        <v>0</v>
      </c>
      <c r="AH11" s="75">
        <v>1.6999999999999999E-3</v>
      </c>
      <c r="AI11" s="81">
        <v>0</v>
      </c>
      <c r="AJ11" s="82">
        <v>0</v>
      </c>
      <c r="AL11" s="75">
        <v>6.8199999999999997E-2</v>
      </c>
      <c r="AM11" s="81">
        <v>0</v>
      </c>
      <c r="AN11" s="82">
        <v>0</v>
      </c>
      <c r="AP11" s="75">
        <v>1.2999999999999999E-3</v>
      </c>
      <c r="AQ11" s="81">
        <v>0</v>
      </c>
      <c r="AR11" s="82">
        <v>0</v>
      </c>
      <c r="AT11" s="75">
        <v>1E-3</v>
      </c>
      <c r="AU11" s="81">
        <v>0</v>
      </c>
      <c r="AV11" s="82">
        <v>0</v>
      </c>
      <c r="AX11" s="75">
        <v>1.6999999999999999E-3</v>
      </c>
      <c r="AY11" s="81">
        <v>0</v>
      </c>
      <c r="AZ11" s="82">
        <v>0</v>
      </c>
    </row>
    <row r="12" spans="1:52" ht="18" customHeight="1" x14ac:dyDescent="0.3">
      <c r="A12" s="7"/>
      <c r="B12" s="86" t="s">
        <v>1</v>
      </c>
      <c r="C12" s="78">
        <f>D10/D12-1</f>
        <v>-0.12051474865566614</v>
      </c>
      <c r="D12" s="29">
        <f>(N12+R12+V12+Z12+AD12+AH12+AL12+AP12+AT12+AX12)/10</f>
        <v>0.70480999999999994</v>
      </c>
      <c r="E12" s="29">
        <f>SQRT(((N12-D12)^2+(R12-D12)^2+(V12-D12)^2+(Z12-D12)^2+(AD12-D12)^2+(AH12-D12)^2+(AL12-D12)^2+(AP12-D12)^2+(AT12-D12)^2+(AX12-D12)^2)/10)</f>
        <v>4.0313085964733583E-2</v>
      </c>
      <c r="F12" s="79">
        <f>E12/D12</f>
        <v>5.7197097039959122E-2</v>
      </c>
      <c r="G12" s="15">
        <f>(O12+S12+W12+AA12+AE12+AI12+AM12+AQ12+AU12+AY12)/10</f>
        <v>0.76500000000000001</v>
      </c>
      <c r="H12" s="25">
        <f>SQRT(((O12-G12)^2+(S12-G12)^2+(W12-G12)^2+(AA12-G12)^2+(AE12-G12)^2+(AI12-G12)^2+(AM12-G12)^2+(AQ12-G12)^2+(AU12-G12)^2+(AY12-G12)^2)/10)</f>
        <v>1.1180339887498959E-2</v>
      </c>
      <c r="I12" s="31">
        <f>H12/G12</f>
        <v>1.461482338235158E-2</v>
      </c>
      <c r="J12" s="25">
        <f>(P12+T12+X12+AB12+AF12+AJ12+AN12+AR12+AV12+AZ12)/10</f>
        <v>0.65749999999999997</v>
      </c>
      <c r="K12" s="25">
        <f>SQRT(((P12-J12)^2+(T12-J12)^2+(X12-J12)^2+(AB12-J12)^2+(AF12-J12)^2+(AJ12-J12)^2+(AN12-J12)^2+(AR12-J12)^2+(AV12-J12)^2+(AZ12-J12)^2)/10)</f>
        <v>4.7885070742351418E-2</v>
      </c>
      <c r="L12" s="31">
        <f>K12/J12</f>
        <v>7.2829004931332958E-2</v>
      </c>
      <c r="N12" s="75">
        <v>0.66390000000000005</v>
      </c>
      <c r="O12" s="25">
        <v>0.76</v>
      </c>
      <c r="P12" s="25">
        <v>0.59140000000000004</v>
      </c>
      <c r="R12" s="75">
        <v>0.69030000000000002</v>
      </c>
      <c r="S12" s="81">
        <v>0.79</v>
      </c>
      <c r="T12" s="83">
        <v>0.61</v>
      </c>
      <c r="V12" s="75">
        <v>0.75039999999999996</v>
      </c>
      <c r="W12" s="81">
        <v>0.77</v>
      </c>
      <c r="X12" s="83">
        <v>0.69369999999999998</v>
      </c>
      <c r="Z12" s="75">
        <v>0.75660000000000005</v>
      </c>
      <c r="AA12" s="81">
        <v>0.77</v>
      </c>
      <c r="AB12" s="83">
        <v>0.71960000000000002</v>
      </c>
      <c r="AD12" s="75">
        <v>0.66500000000000004</v>
      </c>
      <c r="AE12" s="81">
        <v>0.77</v>
      </c>
      <c r="AF12" s="83">
        <v>0.66959999999999997</v>
      </c>
      <c r="AH12" s="75">
        <v>0.72089999999999999</v>
      </c>
      <c r="AI12" s="81">
        <v>0.75</v>
      </c>
      <c r="AJ12" s="83">
        <v>0.6522</v>
      </c>
      <c r="AL12" s="75">
        <v>0.66839999999999999</v>
      </c>
      <c r="AM12" s="81">
        <v>0.76</v>
      </c>
      <c r="AN12" s="83">
        <v>0.60319999999999996</v>
      </c>
      <c r="AP12" s="75">
        <v>0.69869999999999999</v>
      </c>
      <c r="AQ12" s="81">
        <v>0.76</v>
      </c>
      <c r="AR12" s="83">
        <v>0.69720000000000004</v>
      </c>
      <c r="AT12" s="75">
        <v>0.7722</v>
      </c>
      <c r="AU12" s="81">
        <v>0.75</v>
      </c>
      <c r="AV12" s="83">
        <v>0.72460000000000002</v>
      </c>
      <c r="AX12" s="75">
        <v>0.66169999999999995</v>
      </c>
      <c r="AY12" s="81">
        <v>0.77</v>
      </c>
      <c r="AZ12" s="83">
        <v>0.61350000000000005</v>
      </c>
    </row>
    <row r="13" spans="1:52" ht="18" customHeight="1" x14ac:dyDescent="0.3">
      <c r="A13" s="7"/>
      <c r="B13" s="86" t="s">
        <v>11</v>
      </c>
      <c r="C13" s="78">
        <f>D10/D13-1</f>
        <v>589.35238095238094</v>
      </c>
      <c r="D13" s="29">
        <f>(N13+R13+V13+Z13+AD13+AH13+AL13+AP13+AT13+AX13)/10</f>
        <v>1.0499999999999999E-3</v>
      </c>
      <c r="E13" s="29">
        <f>SQRT(((N13-D13)^2+(R13-D13)^2+(V13-D13)^2+(Z13-D13)^2+(AD13-D13)^2+(AH13-D13)^2+(AL13-D13)^2+(AP13-D13)^2+(AT13-D13)^2+(AX13-D13)^2)/10)</f>
        <v>1.6278820596099706E-4</v>
      </c>
      <c r="F13" s="79">
        <f>E13/D13</f>
        <v>0.15503638662952102</v>
      </c>
      <c r="G13" s="15">
        <f>(O13+S13+W13+AA13+AE13+AI13+AM13+AQ13+AU13+AY13)/10</f>
        <v>5.5000000000000007E-2</v>
      </c>
      <c r="H13" s="25">
        <f>SQRT(((O13-G13)^2+(S13-G13)^2+(W13-G13)^2+(AA13-G13)^2+(AE13-G13)^2+(AI13-G13)^2+(AM13-G13)^2+(AQ13-G13)^2+(AU13-G13)^2+(AY13-G13)^2)/10)</f>
        <v>1.3601470508735445E-2</v>
      </c>
      <c r="I13" s="31">
        <f>H13/G13</f>
        <v>0.24729946379518988</v>
      </c>
      <c r="J13" s="25">
        <f>(P13+T13+X13+AB13+AF13+AJ13+AN13+AR13+AV13+AZ13)/10</f>
        <v>7.0999999999999991E-4</v>
      </c>
      <c r="K13" s="25">
        <f>SQRT(((P13-J13)^2+(T13-J13)^2+(X13-J13)^2+(AB13-J13)^2+(AF13-J13)^2+(AJ13-J13)^2+(AN13-J13)^2+(AR13-J13)^2+(AV13-J13)^2+(AZ13-J13)^2)/10)</f>
        <v>2.7E-4</v>
      </c>
      <c r="L13" s="31">
        <f>K13/J13</f>
        <v>0.38028169014084512</v>
      </c>
      <c r="N13" s="75">
        <v>8.9999999999999998E-4</v>
      </c>
      <c r="O13" s="81">
        <v>0.05</v>
      </c>
      <c r="P13" s="25">
        <v>5.0000000000000001E-4</v>
      </c>
      <c r="R13" s="75">
        <v>8.9999999999999998E-4</v>
      </c>
      <c r="S13" s="81">
        <v>0.06</v>
      </c>
      <c r="T13" s="83">
        <v>5.9999999999999995E-4</v>
      </c>
      <c r="V13" s="75">
        <v>1.1000000000000001E-3</v>
      </c>
      <c r="W13" s="81">
        <v>7.0000000000000007E-2</v>
      </c>
      <c r="X13" s="83">
        <v>8.0000000000000004E-4</v>
      </c>
      <c r="Z13" s="75">
        <v>1.2999999999999999E-3</v>
      </c>
      <c r="AA13" s="81">
        <v>0.08</v>
      </c>
      <c r="AB13" s="83">
        <v>1.4E-3</v>
      </c>
      <c r="AD13" s="75">
        <v>1.2999999999999999E-3</v>
      </c>
      <c r="AE13" s="81">
        <v>0.06</v>
      </c>
      <c r="AF13" s="83">
        <v>8.9999999999999998E-4</v>
      </c>
      <c r="AH13" s="75">
        <v>8.9999999999999998E-4</v>
      </c>
      <c r="AI13" s="81">
        <v>0.06</v>
      </c>
      <c r="AJ13" s="83">
        <v>5.9999999999999995E-4</v>
      </c>
      <c r="AL13" s="75">
        <v>8.9999999999999998E-4</v>
      </c>
      <c r="AM13" s="81">
        <v>0.04</v>
      </c>
      <c r="AN13" s="83">
        <v>5.0000000000000001E-4</v>
      </c>
      <c r="AO13" s="34"/>
      <c r="AP13" s="84">
        <v>1.1000000000000001E-3</v>
      </c>
      <c r="AQ13" s="85">
        <v>0.05</v>
      </c>
      <c r="AR13" s="83">
        <v>6.9999999999999999E-4</v>
      </c>
      <c r="AT13" s="75">
        <v>1.1999999999999999E-3</v>
      </c>
      <c r="AU13" s="81">
        <v>0.05</v>
      </c>
      <c r="AV13" s="83">
        <v>6.9999999999999999E-4</v>
      </c>
      <c r="AX13" s="75">
        <v>8.9999999999999998E-4</v>
      </c>
      <c r="AY13" s="81">
        <v>0.03</v>
      </c>
      <c r="AZ13" s="83">
        <v>4.0000000000000002E-4</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-9.9123602296766644E-2</v>
      </c>
      <c r="D17" s="29">
        <f>(N17+R17+V17+Z17+AD17+AH17+AL17+AP17+AT17+AX17)/10</f>
        <v>0.66180000000000017</v>
      </c>
      <c r="E17" s="29">
        <f>SQRT(((N17-D17)^2+(R17-D17)^2+(V17-D17)^2+(Z17-D17)^2+(AD17-D17)^2+(AH17-D17)^2+(AL17-D17)^2+(AP17-D17)^2+(AT17-D17)^2+(AX17-D17)^2)/10)</f>
        <v>1.1102230246251565E-16</v>
      </c>
      <c r="F17" s="79">
        <f>E17/D17</f>
        <v>1.6775808773423335E-16</v>
      </c>
      <c r="G17" s="15">
        <f>(O17+S17+W17+AA17+AE17+AI17+AM17+AQ17+AU17+AY17)/10</f>
        <v>0.88000000000000012</v>
      </c>
      <c r="H17" s="25">
        <f>SQRT(((O17-G17)^2+(S17-G17)^2+(W17-G17)^2+(AA17-G17)^2+(AE17-G17)^2+(AI17-G17)^2+(AM17-G17)^2+(AQ17-G17)^2+(AU17-G17)^2+(AY17-G17)^2)/10)</f>
        <v>1.1102230246251565E-16</v>
      </c>
      <c r="I17" s="31">
        <f>H17/G17</f>
        <v>1.2616170734376778E-16</v>
      </c>
      <c r="J17" s="25">
        <f>(P17+T17+X17+AB17+AF17+AJ17+AN17+AR17+AV17+AZ17)/10</f>
        <v>0.1099</v>
      </c>
      <c r="K17" s="25">
        <f>SQRT(((P17-J17)^2+(T17-J17)^2+(X17-J17)^2+(AB17-J17)^2+(AF17-J17)^2+(AJ17-J17)^2+(AN17-J17)^2+(AR17-J17)^2+(AV17-J17)^2+(AZ17-J17)^2)/10)</f>
        <v>0</v>
      </c>
      <c r="L17" s="31">
        <f>K17/J17</f>
        <v>0</v>
      </c>
      <c r="N17" s="75">
        <v>0.66180000000000005</v>
      </c>
      <c r="O17" s="81">
        <v>0.88</v>
      </c>
      <c r="P17" s="25">
        <v>0.1099</v>
      </c>
      <c r="R17" s="75">
        <v>0.66180000000000005</v>
      </c>
      <c r="S17" s="81">
        <v>0.88</v>
      </c>
      <c r="T17" s="25">
        <v>0.1099</v>
      </c>
      <c r="V17" s="75">
        <v>0.66180000000000005</v>
      </c>
      <c r="W17" s="81">
        <v>0.88</v>
      </c>
      <c r="X17" s="25">
        <v>0.1099</v>
      </c>
      <c r="Z17" s="75">
        <v>0.66180000000000005</v>
      </c>
      <c r="AA17" s="81">
        <v>0.88</v>
      </c>
      <c r="AB17" s="25">
        <v>0.1099</v>
      </c>
      <c r="AD17" s="75">
        <v>0.66180000000000005</v>
      </c>
      <c r="AE17" s="81">
        <v>0.88</v>
      </c>
      <c r="AF17" s="25">
        <v>0.1099</v>
      </c>
      <c r="AH17" s="75">
        <v>0.66180000000000005</v>
      </c>
      <c r="AI17" s="81">
        <v>0.88</v>
      </c>
      <c r="AJ17" s="25">
        <v>0.1099</v>
      </c>
      <c r="AL17" s="75">
        <v>0.66180000000000005</v>
      </c>
      <c r="AM17" s="81">
        <v>0.88</v>
      </c>
      <c r="AN17" s="25">
        <v>0.1099</v>
      </c>
      <c r="AP17" s="75">
        <v>0.66180000000000005</v>
      </c>
      <c r="AQ17" s="81">
        <v>0.88</v>
      </c>
      <c r="AR17" s="25">
        <v>0.1099</v>
      </c>
      <c r="AT17" s="75">
        <v>0.66180000000000005</v>
      </c>
      <c r="AU17" s="81">
        <v>0.88</v>
      </c>
      <c r="AV17" s="25">
        <v>0.1099</v>
      </c>
      <c r="AX17" s="75">
        <v>0.66180000000000005</v>
      </c>
      <c r="AY17" s="81">
        <v>0.88</v>
      </c>
      <c r="AZ17" s="25">
        <v>0.1099</v>
      </c>
    </row>
    <row r="18" spans="1:52" ht="32.4" customHeight="1" x14ac:dyDescent="0.3">
      <c r="A18"/>
      <c r="B18" s="86" t="s">
        <v>44</v>
      </c>
      <c r="C18" s="80"/>
      <c r="D18" s="29">
        <f>(N18+R18+V18+Z18+AD18+AH18+AL18+AP18+AT18+AX18)/10</f>
        <v>0.59619999999999995</v>
      </c>
      <c r="E18" s="29">
        <f>SQRT(((N18-D18)^2+(R18-D18)^2+(V18-D18)^2+(Z18-D18)^2+(AD18-D18)^2+(AH18-D18)^2+(AL18-D18)^2+(AP18-D18)^2+(AT18-D18)^2+(AX18-D18)^2)/10)</f>
        <v>5.6313373189678488E-2</v>
      </c>
      <c r="F18" s="79">
        <f>E18/D18</f>
        <v>9.4453829570074629E-2</v>
      </c>
      <c r="G18" s="18">
        <f>(O18+S18+W18+AA18+AE18+AI18+AM18+AQ18+AU18+AY18)/10</f>
        <v>0.86599999999999999</v>
      </c>
      <c r="H18" s="64">
        <f>SQRT(((O18-G18)^2+(S18-G18)^2+(W18-G18)^2+(AA18-G18)^2+(AE18-G18)^2+(AI18-G18)^2+(AM18-G18)^2+(AQ18-G18)^2+(AU18-G18)^2+(AY18-G18)^2)/10)</f>
        <v>8.0000000000000071E-3</v>
      </c>
      <c r="I18" s="62">
        <f>H18/G18</f>
        <v>9.2378752886836113E-3</v>
      </c>
      <c r="J18" s="64">
        <f>(P18+T18+X18+AB18+AF18+AJ18+AN18+AR18+AV18+AZ18)/10</f>
        <v>8.5000000000000006E-2</v>
      </c>
      <c r="K18" s="64">
        <f>SQRT(((P18-J18)^2+(T18-J18)^2+(X18-J18)^2+(AB18-J18)^2+(AF18-J18)^2+(AJ18-J18)^2+(AN18-J18)^2+(AR18-J18)^2+(AV18-J18)^2+(AZ18-J18)^2)/10)</f>
        <v>5.6235220280532357E-3</v>
      </c>
      <c r="L18" s="62">
        <f>K18/J18</f>
        <v>6.6159082682979237E-2</v>
      </c>
      <c r="N18" s="75">
        <v>0.56330000000000002</v>
      </c>
      <c r="O18" s="81">
        <v>0.86</v>
      </c>
      <c r="P18" s="25">
        <v>7.8899999999999998E-2</v>
      </c>
      <c r="R18" s="75">
        <v>0.66610000000000003</v>
      </c>
      <c r="S18" s="81">
        <v>0.86</v>
      </c>
      <c r="T18" s="25">
        <v>7.6200000000000004E-2</v>
      </c>
      <c r="V18" s="75">
        <v>0.56389999999999996</v>
      </c>
      <c r="W18" s="81">
        <v>0.88</v>
      </c>
      <c r="X18" s="25">
        <v>8.2600000000000007E-2</v>
      </c>
      <c r="Z18" s="75">
        <v>0.6099</v>
      </c>
      <c r="AA18" s="81">
        <v>0.87</v>
      </c>
      <c r="AB18" s="25">
        <v>8.8400000000000006E-2</v>
      </c>
      <c r="AD18" s="75">
        <v>0.56520000000000004</v>
      </c>
      <c r="AE18" s="81">
        <v>0.87</v>
      </c>
      <c r="AF18" s="25">
        <v>8.5999999999999993E-2</v>
      </c>
      <c r="AH18" s="75">
        <v>0.7026</v>
      </c>
      <c r="AI18" s="81">
        <v>0.85</v>
      </c>
      <c r="AJ18" s="25">
        <v>8.2699999999999996E-2</v>
      </c>
      <c r="AL18" s="75">
        <v>0.60009999999999997</v>
      </c>
      <c r="AM18" s="81">
        <v>0.87</v>
      </c>
      <c r="AN18" s="25">
        <v>9.0399999999999994E-2</v>
      </c>
      <c r="AP18" s="75">
        <v>0.6411</v>
      </c>
      <c r="AQ18" s="81">
        <v>0.86</v>
      </c>
      <c r="AR18" s="25">
        <v>8.6300000000000002E-2</v>
      </c>
      <c r="AT18" s="75">
        <v>0.52890000000000004</v>
      </c>
      <c r="AU18" s="81">
        <v>0.87</v>
      </c>
      <c r="AV18" s="25">
        <v>8.1799999999999998E-2</v>
      </c>
      <c r="AX18" s="75">
        <v>0.52090000000000003</v>
      </c>
      <c r="AY18" s="81">
        <v>0.87</v>
      </c>
      <c r="AZ18" s="25">
        <v>9.6699999999999994E-2</v>
      </c>
    </row>
    <row r="19" spans="1:52" ht="16.8" x14ac:dyDescent="0.3">
      <c r="A19"/>
      <c r="B19" s="86" t="s">
        <v>5</v>
      </c>
      <c r="C19" s="78">
        <f>D18/D19-1</f>
        <v>22.063829787234038</v>
      </c>
      <c r="D19" s="29">
        <f>(N19+R19+V19+Z19+AD19+AH19+AL19+AP19+AT19+AX19)/10</f>
        <v>2.5850000000000001E-2</v>
      </c>
      <c r="E19" s="29">
        <f>SQRT(((N19-D19)^2+(R19-D19)^2+(V19-D19)^2+(Z19-D19)^2+(AD19-D19)^2+(AH19-D19)^2+(AL19-D19)^2+(AP19-D19)^2+(AT19-D19)^2+(AX19-D19)^2)/10)</f>
        <v>3.5236891179557826E-2</v>
      </c>
      <c r="F19" s="79">
        <f>E19/D19</f>
        <v>1.3631292525941132</v>
      </c>
      <c r="G19" s="15">
        <f>(O19+S19+W19+AA19+AE19+AI19+AM19+AQ19+AU19+AY19)/10</f>
        <v>0</v>
      </c>
      <c r="H19" s="25">
        <f>SQRT(((O19-G19)^2+(S19-G19)^2+(W19-G19)^2+(AA19-G19)^2+(AE19-G19)^2+(AI19-G19)^2+(AM19-G19)^2+(AQ19-G19)^2+(AU19-G19)^2+(AY19-G19)^2)/10)</f>
        <v>0</v>
      </c>
      <c r="I19" s="31" t="e">
        <f>H19/G19</f>
        <v>#DIV/0!</v>
      </c>
      <c r="J19" s="25">
        <f>(P19+T19+X19+AB19+AF19+AJ19+AN19+AR19+AV19+AZ19)/10</f>
        <v>0</v>
      </c>
      <c r="K19" s="25">
        <f>SQRT(((P19-J19)^2+(T19-J19)^2+(X19-J19)^2+(AB19-J19)^2+(AF19-J19)^2+(AJ19-J19)^2+(AN19-J19)^2+(AR19-J19)^2+(AV19-J19)^2+(AZ19-J19)^2)/10)</f>
        <v>0</v>
      </c>
      <c r="L19" s="31" t="e">
        <f>K19/J19</f>
        <v>#DIV/0!</v>
      </c>
      <c r="N19" s="75">
        <v>6.7000000000000002E-3</v>
      </c>
      <c r="O19" s="25">
        <v>0</v>
      </c>
      <c r="P19" s="25">
        <v>0</v>
      </c>
      <c r="R19" s="75">
        <v>1.8200000000000001E-2</v>
      </c>
      <c r="S19" s="81">
        <v>0</v>
      </c>
      <c r="T19" s="82">
        <v>0</v>
      </c>
      <c r="V19" s="75">
        <v>5.11E-2</v>
      </c>
      <c r="W19" s="81">
        <v>0</v>
      </c>
      <c r="X19" s="82">
        <v>0</v>
      </c>
      <c r="Z19" s="75">
        <v>0.107</v>
      </c>
      <c r="AA19" s="81">
        <v>0</v>
      </c>
      <c r="AB19" s="82">
        <v>0</v>
      </c>
      <c r="AD19" s="75">
        <v>1.6000000000000001E-3</v>
      </c>
      <c r="AE19" s="81">
        <v>0</v>
      </c>
      <c r="AF19" s="82">
        <v>0</v>
      </c>
      <c r="AH19" s="75">
        <v>1.6999999999999999E-3</v>
      </c>
      <c r="AI19" s="81">
        <v>0</v>
      </c>
      <c r="AJ19" s="82">
        <v>0</v>
      </c>
      <c r="AL19" s="75">
        <v>6.8199999999999997E-2</v>
      </c>
      <c r="AM19" s="81">
        <v>0</v>
      </c>
      <c r="AN19" s="82">
        <v>0</v>
      </c>
      <c r="AP19" s="75">
        <v>1.2999999999999999E-3</v>
      </c>
      <c r="AQ19" s="81">
        <v>0</v>
      </c>
      <c r="AR19" s="82">
        <v>0</v>
      </c>
      <c r="AT19" s="75">
        <v>1E-3</v>
      </c>
      <c r="AU19" s="81">
        <v>0</v>
      </c>
      <c r="AV19" s="82">
        <v>0</v>
      </c>
      <c r="AX19" s="75">
        <v>1.6999999999999999E-3</v>
      </c>
      <c r="AY19" s="81">
        <v>0</v>
      </c>
      <c r="AZ19" s="82">
        <v>0</v>
      </c>
    </row>
    <row r="20" spans="1:52" ht="16.8" x14ac:dyDescent="0.3">
      <c r="A20"/>
      <c r="B20" s="86" t="s">
        <v>1</v>
      </c>
      <c r="C20" s="87">
        <f>D18/D20-1</f>
        <v>-0.15409826761822332</v>
      </c>
      <c r="D20" s="29">
        <f>(N20+R20+V20+Z20+AD20+AH20+AL20+AP20+AT20+AX20)/10</f>
        <v>0.70480999999999994</v>
      </c>
      <c r="E20" s="29">
        <f>SQRT(((N20-D20)^2+(R20-D20)^2+(V20-D20)^2+(Z20-D20)^2+(AD20-D20)^2+(AH20-D20)^2+(AL20-D20)^2+(AP20-D20)^2+(AT20-D20)^2+(AX20-D20)^2)/10)</f>
        <v>4.0313085964733583E-2</v>
      </c>
      <c r="F20" s="79">
        <f>E20/D20</f>
        <v>5.7197097039959122E-2</v>
      </c>
      <c r="G20" s="15">
        <f>(O20+S20+W20+AA20+AE20+AI20+AM20+AQ20+AU20+AY20)/10</f>
        <v>0.76500000000000001</v>
      </c>
      <c r="H20" s="25">
        <f>SQRT(((O20-G20)^2+(S20-G20)^2+(W20-G20)^2+(AA20-G20)^2+(AE20-G20)^2+(AI20-G20)^2+(AM20-G20)^2+(AQ20-G20)^2+(AU20-G20)^2+(AY20-G20)^2)/10)</f>
        <v>1.1180339887498959E-2</v>
      </c>
      <c r="I20" s="31">
        <f>H20/G20</f>
        <v>1.461482338235158E-2</v>
      </c>
      <c r="J20" s="25">
        <f>(P20+T20+X20+AB20+AF20+AJ20+AN20+AR20+AV20+AZ20)/10</f>
        <v>0.65749999999999997</v>
      </c>
      <c r="K20" s="25">
        <f>SQRT(((P20-J20)^2+(T20-J20)^2+(X20-J20)^2+(AB20-J20)^2+(AF20-J20)^2+(AJ20-J20)^2+(AN20-J20)^2+(AR20-J20)^2+(AV20-J20)^2+(AZ20-J20)^2)/10)</f>
        <v>4.7885070742351418E-2</v>
      </c>
      <c r="L20" s="31">
        <f>K20/J20</f>
        <v>7.2829004931332958E-2</v>
      </c>
      <c r="N20" s="75">
        <v>0.66390000000000005</v>
      </c>
      <c r="O20" s="25">
        <v>0.76</v>
      </c>
      <c r="P20" s="25">
        <v>0.59140000000000004</v>
      </c>
      <c r="R20" s="75">
        <v>0.69030000000000002</v>
      </c>
      <c r="S20" s="81">
        <v>0.79</v>
      </c>
      <c r="T20" s="83">
        <v>0.61</v>
      </c>
      <c r="V20" s="75">
        <v>0.75039999999999996</v>
      </c>
      <c r="W20" s="81">
        <v>0.77</v>
      </c>
      <c r="X20" s="83">
        <v>0.69369999999999998</v>
      </c>
      <c r="Z20" s="75">
        <v>0.75660000000000005</v>
      </c>
      <c r="AA20" s="81">
        <v>0.77</v>
      </c>
      <c r="AB20" s="83">
        <v>0.71960000000000002</v>
      </c>
      <c r="AD20" s="75">
        <v>0.66500000000000004</v>
      </c>
      <c r="AE20" s="81">
        <v>0.77</v>
      </c>
      <c r="AF20" s="83">
        <v>0.66959999999999997</v>
      </c>
      <c r="AH20" s="75">
        <v>0.72089999999999999</v>
      </c>
      <c r="AI20" s="81">
        <v>0.75</v>
      </c>
      <c r="AJ20" s="83">
        <v>0.6522</v>
      </c>
      <c r="AL20" s="75">
        <v>0.66839999999999999</v>
      </c>
      <c r="AM20" s="81">
        <v>0.76</v>
      </c>
      <c r="AN20" s="83">
        <v>0.60319999999999996</v>
      </c>
      <c r="AP20" s="75">
        <v>0.69869999999999999</v>
      </c>
      <c r="AQ20" s="81">
        <v>0.76</v>
      </c>
      <c r="AR20" s="83">
        <v>0.69720000000000004</v>
      </c>
      <c r="AT20" s="75">
        <v>0.7722</v>
      </c>
      <c r="AU20" s="81">
        <v>0.75</v>
      </c>
      <c r="AV20" s="83">
        <v>0.72460000000000002</v>
      </c>
      <c r="AX20" s="75">
        <v>0.66169999999999995</v>
      </c>
      <c r="AY20" s="81">
        <v>0.77</v>
      </c>
      <c r="AZ20" s="83">
        <v>0.61350000000000005</v>
      </c>
    </row>
    <row r="21" spans="1:52" ht="16.8" x14ac:dyDescent="0.3">
      <c r="A21"/>
      <c r="B21" s="86" t="s">
        <v>11</v>
      </c>
      <c r="C21" s="78">
        <f>D18/D21-1</f>
        <v>566.80952380952385</v>
      </c>
      <c r="D21" s="29">
        <f>(N21+R21+V21+Z21+AD21+AH21+AL21+AP21+AT21+AX21)/10</f>
        <v>1.0499999999999999E-3</v>
      </c>
      <c r="E21" s="29">
        <f>SQRT(((N21-D21)^2+(R21-D21)^2+(V21-D21)^2+(Z21-D21)^2+(AD21-D21)^2+(AH21-D21)^2+(AL21-D21)^2+(AP21-D21)^2+(AT21-D21)^2+(AX21-D21)^2)/10)</f>
        <v>1.6278820596099706E-4</v>
      </c>
      <c r="F21" s="79">
        <f>E21/D21</f>
        <v>0.15503638662952102</v>
      </c>
      <c r="G21" s="15">
        <f>(O21+S21+W21+AA21+AE21+AI21+AM21+AQ21+AU21+AY21)/10</f>
        <v>5.5000000000000007E-2</v>
      </c>
      <c r="H21" s="25">
        <f>SQRT(((O21-G21)^2+(S21-G21)^2+(W21-G21)^2+(AA21-G21)^2+(AE21-G21)^2+(AI21-G21)^2+(AM21-G21)^2+(AQ21-G21)^2+(AU21-G21)^2+(AY21-G21)^2)/10)</f>
        <v>1.3601470508735445E-2</v>
      </c>
      <c r="I21" s="31">
        <f>H21/G21</f>
        <v>0.24729946379518988</v>
      </c>
      <c r="J21" s="25">
        <f>(P21+T21+X21+AB21+AF21+AJ21+AN21+AR21+AV21+AZ21)/10</f>
        <v>7.0999999999999991E-4</v>
      </c>
      <c r="K21" s="25">
        <f>SQRT(((P21-J21)^2+(T21-J21)^2+(X21-J21)^2+(AB21-J21)^2+(AF21-J21)^2+(AJ21-J21)^2+(AN21-J21)^2+(AR21-J21)^2+(AV21-J21)^2+(AZ21-J21)^2)/10)</f>
        <v>2.7E-4</v>
      </c>
      <c r="L21" s="31">
        <f>K21/J21</f>
        <v>0.38028169014084512</v>
      </c>
      <c r="N21" s="75">
        <v>8.9999999999999998E-4</v>
      </c>
      <c r="O21" s="81">
        <v>0.05</v>
      </c>
      <c r="P21" s="25">
        <v>5.0000000000000001E-4</v>
      </c>
      <c r="R21" s="75">
        <v>8.9999999999999998E-4</v>
      </c>
      <c r="S21" s="81">
        <v>0.06</v>
      </c>
      <c r="T21" s="83">
        <v>5.9999999999999995E-4</v>
      </c>
      <c r="V21" s="75">
        <v>1.1000000000000001E-3</v>
      </c>
      <c r="W21" s="81">
        <v>7.0000000000000007E-2</v>
      </c>
      <c r="X21" s="83">
        <v>8.0000000000000004E-4</v>
      </c>
      <c r="Z21" s="75">
        <v>1.2999999999999999E-3</v>
      </c>
      <c r="AA21" s="81">
        <v>0.08</v>
      </c>
      <c r="AB21" s="83">
        <v>1.4E-3</v>
      </c>
      <c r="AD21" s="75">
        <v>1.2999999999999999E-3</v>
      </c>
      <c r="AE21" s="81">
        <v>0.06</v>
      </c>
      <c r="AF21" s="83">
        <v>8.9999999999999998E-4</v>
      </c>
      <c r="AH21" s="75">
        <v>8.9999999999999998E-4</v>
      </c>
      <c r="AI21" s="81">
        <v>0.06</v>
      </c>
      <c r="AJ21" s="83">
        <v>5.9999999999999995E-4</v>
      </c>
      <c r="AL21" s="75">
        <v>8.9999999999999998E-4</v>
      </c>
      <c r="AM21" s="81">
        <v>0.04</v>
      </c>
      <c r="AN21" s="83">
        <v>5.0000000000000001E-4</v>
      </c>
      <c r="AO21" s="34"/>
      <c r="AP21" s="84">
        <v>1.1000000000000001E-3</v>
      </c>
      <c r="AQ21" s="85">
        <v>0.05</v>
      </c>
      <c r="AR21" s="83">
        <v>6.9999999999999999E-4</v>
      </c>
      <c r="AT21" s="75">
        <v>1.1999999999999999E-3</v>
      </c>
      <c r="AU21" s="81">
        <v>0.05</v>
      </c>
      <c r="AV21" s="83">
        <v>6.9999999999999999E-4</v>
      </c>
      <c r="AX21" s="75">
        <v>8.9999999999999998E-4</v>
      </c>
      <c r="AY21" s="81">
        <v>0.03</v>
      </c>
      <c r="AZ21" s="83">
        <v>4.0000000000000002E-4</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-0.10832577818071965</v>
      </c>
      <c r="D25" s="29">
        <f>(N25+R25+V25+Z25+AD25+AH25+AL25+AP25+AT25+AX25)/10</f>
        <v>0.66180000000000017</v>
      </c>
      <c r="E25" s="29">
        <f>SQRT(((N25-D25)^2+(R25-D25)^2+(V25-D25)^2+(Z25-D25)^2+(AD25-D25)^2+(AH25-D25)^2+(AL25-D25)^2+(AP25-D25)^2+(AT25-D25)^2+(AX25-D25)^2)/10)</f>
        <v>1.1102230246251565E-16</v>
      </c>
      <c r="F25" s="79">
        <f>E25/D25</f>
        <v>1.6775808773423335E-16</v>
      </c>
      <c r="G25" s="15">
        <f>(O25+S25+W25+AA25+AE25+AI25+AM25+AQ25+AU25+AY25)/10</f>
        <v>0.88000000000000012</v>
      </c>
      <c r="H25" s="25">
        <f>SQRT(((O25-G25)^2+(S25-G25)^2+(W25-G25)^2+(AA25-G25)^2+(AE25-G25)^2+(AI25-G25)^2+(AM25-G25)^2+(AQ25-G25)^2+(AU25-G25)^2+(AY25-G25)^2)/10)</f>
        <v>1.1102230246251565E-16</v>
      </c>
      <c r="I25" s="31">
        <f>H25/G25</f>
        <v>1.2616170734376778E-16</v>
      </c>
      <c r="J25" s="25">
        <f>(P25+T25+X25+AB25+AF25+AJ25+AN25+AR25+AV25+AZ25)/10</f>
        <v>0.1099</v>
      </c>
      <c r="K25" s="25">
        <f>SQRT(((P25-J25)^2+(T25-J25)^2+(X25-J25)^2+(AB25-J25)^2+(AF25-J25)^2+(AJ25-J25)^2+(AN25-J25)^2+(AR25-J25)^2+(AV25-J25)^2+(AZ25-J25)^2)/10)</f>
        <v>0</v>
      </c>
      <c r="L25" s="31">
        <f>K25/J25</f>
        <v>0</v>
      </c>
      <c r="N25" s="75">
        <v>0.66180000000000005</v>
      </c>
      <c r="O25" s="81">
        <v>0.88</v>
      </c>
      <c r="P25" s="25">
        <v>0.1099</v>
      </c>
      <c r="R25" s="75">
        <v>0.66180000000000005</v>
      </c>
      <c r="S25" s="81">
        <v>0.88</v>
      </c>
      <c r="T25" s="25">
        <v>0.1099</v>
      </c>
      <c r="V25" s="75">
        <v>0.66180000000000005</v>
      </c>
      <c r="W25" s="81">
        <v>0.88</v>
      </c>
      <c r="X25" s="25">
        <v>0.1099</v>
      </c>
      <c r="Z25" s="75">
        <v>0.66180000000000005</v>
      </c>
      <c r="AA25" s="81">
        <v>0.88</v>
      </c>
      <c r="AB25" s="25">
        <v>0.1099</v>
      </c>
      <c r="AD25" s="75">
        <v>0.66180000000000005</v>
      </c>
      <c r="AE25" s="81">
        <v>0.88</v>
      </c>
      <c r="AF25" s="25">
        <v>0.1099</v>
      </c>
      <c r="AH25" s="75">
        <v>0.66180000000000005</v>
      </c>
      <c r="AI25" s="81">
        <v>0.88</v>
      </c>
      <c r="AJ25" s="25">
        <v>0.1099</v>
      </c>
      <c r="AL25" s="75">
        <v>0.66180000000000005</v>
      </c>
      <c r="AM25" s="81">
        <v>0.88</v>
      </c>
      <c r="AN25" s="25">
        <v>0.1099</v>
      </c>
      <c r="AP25" s="75">
        <v>0.66180000000000005</v>
      </c>
      <c r="AQ25" s="81">
        <v>0.88</v>
      </c>
      <c r="AR25" s="25">
        <v>0.1099</v>
      </c>
      <c r="AT25" s="75">
        <v>0.66180000000000005</v>
      </c>
      <c r="AU25" s="81">
        <v>0.88</v>
      </c>
      <c r="AV25" s="25">
        <v>0.1099</v>
      </c>
      <c r="AX25" s="75">
        <v>0.66180000000000005</v>
      </c>
      <c r="AY25" s="81">
        <v>0.88</v>
      </c>
      <c r="AZ25" s="25">
        <v>0.1099</v>
      </c>
    </row>
    <row r="26" spans="1:52" ht="33.6" x14ac:dyDescent="0.3">
      <c r="A26"/>
      <c r="B26" s="86" t="s">
        <v>45</v>
      </c>
      <c r="C26" s="80"/>
      <c r="D26" s="29">
        <f>(N26+R26+V26+Z26+AD26+AH26+AL26+AP26+AT26+AX26)/10</f>
        <v>0.59010999999999991</v>
      </c>
      <c r="E26" s="29">
        <f>SQRT(((N26-D26)^2+(R26-D26)^2+(V26-D26)^2+(Z26-D26)^2+(AD26-D26)^2+(AH26-D26)^2+(AL26-D26)^2+(AP26-D26)^2+(AT26-D26)^2+(AX26-D26)^2)/10)</f>
        <v>9.4846259283115644E-2</v>
      </c>
      <c r="F26" s="79">
        <f>E26/D26</f>
        <v>0.16072640572624708</v>
      </c>
      <c r="G26" s="18">
        <f>(O26+S26+W26+AA26+AE26+AI26+AM26+AQ26+AU26+AY26)/10</f>
        <v>0.87800000000000011</v>
      </c>
      <c r="H26" s="64">
        <f>SQRT(((O26-G26)^2+(S26-G26)^2+(W26-G26)^2+(AA26-G26)^2+(AE26-G26)^2+(AI26-G26)^2+(AM26-G26)^2+(AQ26-G26)^2+(AU26-G26)^2+(AY26-G26)^2)/10)</f>
        <v>1.6613247725836163E-2</v>
      </c>
      <c r="I26" s="62">
        <f>H26/G26</f>
        <v>1.8921694448560549E-2</v>
      </c>
      <c r="J26" s="64">
        <f>(P26+T26+X26+AB26+AF26+AJ26+AN26+AR26+AV26+AZ26)/10</f>
        <v>8.6650000000000005E-2</v>
      </c>
      <c r="K26" s="64">
        <f>SQRT(((P26-J26)^2+(T26-J26)^2+(X26-J26)^2+(AB26-J26)^2+(AF26-J26)^2+(AJ26-J26)^2+(AN26-J26)^2+(AR26-J26)^2+(AV26-J26)^2+(AZ26-J26)^2)/10)</f>
        <v>8.7625624106193959E-3</v>
      </c>
      <c r="L26" s="62">
        <f>K26/J26</f>
        <v>0.1011259366488101</v>
      </c>
      <c r="N26" s="75">
        <v>0.62039999999999995</v>
      </c>
      <c r="O26" s="81">
        <v>0.86</v>
      </c>
      <c r="P26" s="25">
        <v>8.4400000000000003E-2</v>
      </c>
      <c r="R26" s="75">
        <v>0.54179999999999995</v>
      </c>
      <c r="S26" s="81">
        <v>0.88</v>
      </c>
      <c r="T26" s="25">
        <v>9.7500000000000003E-2</v>
      </c>
      <c r="V26" s="75">
        <v>0.7087</v>
      </c>
      <c r="W26" s="81">
        <v>0.87</v>
      </c>
      <c r="X26" s="25">
        <v>6.9599999999999995E-2</v>
      </c>
      <c r="Z26" s="75">
        <v>0.63180000000000003</v>
      </c>
      <c r="AA26" s="81">
        <v>0.9</v>
      </c>
      <c r="AB26" s="25">
        <v>9.6000000000000002E-2</v>
      </c>
      <c r="AD26" s="75">
        <v>0.62790000000000001</v>
      </c>
      <c r="AE26" s="81">
        <v>0.87</v>
      </c>
      <c r="AF26" s="25">
        <v>8.2600000000000007E-2</v>
      </c>
      <c r="AH26" s="75">
        <v>0.33029999999999998</v>
      </c>
      <c r="AI26" s="81">
        <v>0.91</v>
      </c>
      <c r="AJ26" s="25">
        <v>7.6899999999999996E-2</v>
      </c>
      <c r="AL26" s="75">
        <v>0.62450000000000006</v>
      </c>
      <c r="AM26" s="81">
        <v>0.89</v>
      </c>
      <c r="AN26" s="25">
        <v>9.8599999999999993E-2</v>
      </c>
      <c r="AP26" s="75">
        <v>0.60260000000000002</v>
      </c>
      <c r="AQ26" s="81">
        <v>0.86</v>
      </c>
      <c r="AR26" s="25">
        <v>8.8300000000000003E-2</v>
      </c>
      <c r="AT26" s="75">
        <v>0.61350000000000005</v>
      </c>
      <c r="AU26" s="81">
        <v>0.86</v>
      </c>
      <c r="AV26" s="25">
        <v>8.4099999999999994E-2</v>
      </c>
      <c r="AX26" s="75">
        <v>0.59960000000000002</v>
      </c>
      <c r="AY26" s="81">
        <v>0.88</v>
      </c>
      <c r="AZ26" s="25">
        <v>8.8499999999999995E-2</v>
      </c>
    </row>
    <row r="27" spans="1:52" ht="16.8" x14ac:dyDescent="0.3">
      <c r="A27"/>
      <c r="B27" s="86" t="s">
        <v>5</v>
      </c>
      <c r="C27" s="78">
        <f>D26/D27-1</f>
        <v>21.828239845261116</v>
      </c>
      <c r="D27" s="29">
        <f>(N27+R27+V27+Z27+AD27+AH27+AL27+AP27+AT27+AX27)/10</f>
        <v>2.5850000000000001E-2</v>
      </c>
      <c r="E27" s="29">
        <f>SQRT(((N27-D27)^2+(R27-D27)^2+(V27-D27)^2+(Z27-D27)^2+(AD27-D27)^2+(AH27-D27)^2+(AL27-D27)^2+(AP27-D27)^2+(AT27-D27)^2+(AX27-D27)^2)/10)</f>
        <v>3.5236891179557826E-2</v>
      </c>
      <c r="F27" s="79">
        <f>E27/D27</f>
        <v>1.3631292525941132</v>
      </c>
      <c r="G27" s="15">
        <f>(O27+S27+W27+AA27+AE27+AI27+AM27+AQ27+AU27+AY27)/10</f>
        <v>0</v>
      </c>
      <c r="H27" s="25">
        <f>SQRT(((O27-G27)^2+(S27-G27)^2+(W27-G27)^2+(AA27-G27)^2+(AE27-G27)^2+(AI27-G27)^2+(AM27-G27)^2+(AQ27-G27)^2+(AU27-G27)^2+(AY27-G27)^2)/10)</f>
        <v>0</v>
      </c>
      <c r="I27" s="31" t="e">
        <f>H27/G27</f>
        <v>#DIV/0!</v>
      </c>
      <c r="J27" s="25">
        <f>(P27+T27+X27+AB27+AF27+AJ27+AN27+AR27+AV27+AZ27)/10</f>
        <v>0</v>
      </c>
      <c r="K27" s="25">
        <f>SQRT(((P27-J27)^2+(T27-J27)^2+(X27-J27)^2+(AB27-J27)^2+(AF27-J27)^2+(AJ27-J27)^2+(AN27-J27)^2+(AR27-J27)^2+(AV27-J27)^2+(AZ27-J27)^2)/10)</f>
        <v>0</v>
      </c>
      <c r="L27" s="31" t="e">
        <f>K27/J27</f>
        <v>#DIV/0!</v>
      </c>
      <c r="N27" s="75">
        <v>6.7000000000000002E-3</v>
      </c>
      <c r="O27" s="25">
        <v>0</v>
      </c>
      <c r="P27" s="25">
        <v>0</v>
      </c>
      <c r="R27" s="75">
        <v>1.8200000000000001E-2</v>
      </c>
      <c r="S27" s="81">
        <v>0</v>
      </c>
      <c r="T27" s="82">
        <v>0</v>
      </c>
      <c r="V27" s="75">
        <v>5.11E-2</v>
      </c>
      <c r="W27" s="81">
        <v>0</v>
      </c>
      <c r="X27" s="82">
        <v>0</v>
      </c>
      <c r="Z27" s="75">
        <v>0.107</v>
      </c>
      <c r="AA27" s="81">
        <v>0</v>
      </c>
      <c r="AB27" s="82">
        <v>0</v>
      </c>
      <c r="AD27" s="75">
        <v>1.6000000000000001E-3</v>
      </c>
      <c r="AE27" s="81">
        <v>0</v>
      </c>
      <c r="AF27" s="82">
        <v>0</v>
      </c>
      <c r="AH27" s="75">
        <v>1.6999999999999999E-3</v>
      </c>
      <c r="AI27" s="81">
        <v>0</v>
      </c>
      <c r="AJ27" s="82">
        <v>0</v>
      </c>
      <c r="AL27" s="75">
        <v>6.8199999999999997E-2</v>
      </c>
      <c r="AM27" s="81">
        <v>0</v>
      </c>
      <c r="AN27" s="82">
        <v>0</v>
      </c>
      <c r="AP27" s="75">
        <v>1.2999999999999999E-3</v>
      </c>
      <c r="AQ27" s="81">
        <v>0</v>
      </c>
      <c r="AR27" s="82">
        <v>0</v>
      </c>
      <c r="AT27" s="75">
        <v>1E-3</v>
      </c>
      <c r="AU27" s="81">
        <v>0</v>
      </c>
      <c r="AV27" s="82">
        <v>0</v>
      </c>
      <c r="AX27" s="75">
        <v>1.6999999999999999E-3</v>
      </c>
      <c r="AY27" s="81">
        <v>0</v>
      </c>
      <c r="AZ27" s="82">
        <v>0</v>
      </c>
    </row>
    <row r="28" spans="1:52" ht="16.8" x14ac:dyDescent="0.3">
      <c r="A28" s="3"/>
      <c r="B28" s="86" t="s">
        <v>1</v>
      </c>
      <c r="C28" s="87">
        <f>D26/D28-1</f>
        <v>-0.16273889417006004</v>
      </c>
      <c r="D28" s="29">
        <f>(N28+R28+V28+Z28+AD28+AH28+AL28+AP28+AT28+AX28)/10</f>
        <v>0.70480999999999994</v>
      </c>
      <c r="E28" s="29">
        <f>SQRT(((N28-D28)^2+(R28-D28)^2+(V28-D28)^2+(Z28-D28)^2+(AD28-D28)^2+(AH28-D28)^2+(AL28-D28)^2+(AP28-D28)^2+(AT28-D28)^2+(AX28-D28)^2)/10)</f>
        <v>4.0313085964733583E-2</v>
      </c>
      <c r="F28" s="79">
        <f>E28/D28</f>
        <v>5.7197097039959122E-2</v>
      </c>
      <c r="G28" s="15">
        <f>(O28+S28+W28+AA28+AE28+AI28+AM28+AQ28+AU28+AY28)/10</f>
        <v>0.76500000000000001</v>
      </c>
      <c r="H28" s="25">
        <f>SQRT(((O28-G28)^2+(S28-G28)^2+(W28-G28)^2+(AA28-G28)^2+(AE28-G28)^2+(AI28-G28)^2+(AM28-G28)^2+(AQ28-G28)^2+(AU28-G28)^2+(AY28-G28)^2)/10)</f>
        <v>1.1180339887498959E-2</v>
      </c>
      <c r="I28" s="31">
        <f>H28/G28</f>
        <v>1.461482338235158E-2</v>
      </c>
      <c r="J28" s="25">
        <f>(P28+T28+X28+AB28+AF28+AJ28+AN28+AR28+AV28+AZ28)/10</f>
        <v>0.65749999999999997</v>
      </c>
      <c r="K28" s="25">
        <f>SQRT(((P28-J28)^2+(T28-J28)^2+(X28-J28)^2+(AB28-J28)^2+(AF28-J28)^2+(AJ28-J28)^2+(AN28-J28)^2+(AR28-J28)^2+(AV28-J28)^2+(AZ28-J28)^2)/10)</f>
        <v>4.7885070742351418E-2</v>
      </c>
      <c r="L28" s="31">
        <f>K28/J28</f>
        <v>7.2829004931332958E-2</v>
      </c>
      <c r="N28" s="75">
        <v>0.66390000000000005</v>
      </c>
      <c r="O28" s="25">
        <v>0.76</v>
      </c>
      <c r="P28" s="25">
        <v>0.59140000000000004</v>
      </c>
      <c r="R28" s="75">
        <v>0.69030000000000002</v>
      </c>
      <c r="S28" s="81">
        <v>0.79</v>
      </c>
      <c r="T28" s="83">
        <v>0.61</v>
      </c>
      <c r="V28" s="75">
        <v>0.75039999999999996</v>
      </c>
      <c r="W28" s="81">
        <v>0.77</v>
      </c>
      <c r="X28" s="83">
        <v>0.69369999999999998</v>
      </c>
      <c r="Z28" s="75">
        <v>0.75660000000000005</v>
      </c>
      <c r="AA28" s="81">
        <v>0.77</v>
      </c>
      <c r="AB28" s="83">
        <v>0.71960000000000002</v>
      </c>
      <c r="AD28" s="75">
        <v>0.66500000000000004</v>
      </c>
      <c r="AE28" s="81">
        <v>0.77</v>
      </c>
      <c r="AF28" s="83">
        <v>0.66959999999999997</v>
      </c>
      <c r="AH28" s="75">
        <v>0.72089999999999999</v>
      </c>
      <c r="AI28" s="81">
        <v>0.75</v>
      </c>
      <c r="AJ28" s="83">
        <v>0.6522</v>
      </c>
      <c r="AL28" s="75">
        <v>0.66839999999999999</v>
      </c>
      <c r="AM28" s="81">
        <v>0.76</v>
      </c>
      <c r="AN28" s="83">
        <v>0.60319999999999996</v>
      </c>
      <c r="AP28" s="75">
        <v>0.69869999999999999</v>
      </c>
      <c r="AQ28" s="81">
        <v>0.76</v>
      </c>
      <c r="AR28" s="83">
        <v>0.69720000000000004</v>
      </c>
      <c r="AT28" s="75">
        <v>0.7722</v>
      </c>
      <c r="AU28" s="81">
        <v>0.75</v>
      </c>
      <c r="AV28" s="83">
        <v>0.72460000000000002</v>
      </c>
      <c r="AX28" s="75">
        <v>0.66169999999999995</v>
      </c>
      <c r="AY28" s="81">
        <v>0.77</v>
      </c>
      <c r="AZ28" s="83">
        <v>0.61350000000000005</v>
      </c>
    </row>
    <row r="29" spans="1:52" ht="16.8" x14ac:dyDescent="0.3">
      <c r="A29"/>
      <c r="B29" s="86" t="s">
        <v>11</v>
      </c>
      <c r="C29" s="78">
        <f>D26/D29-1</f>
        <v>561.00952380952378</v>
      </c>
      <c r="D29" s="29">
        <f>(N29+R29+V29+Z29+AD29+AH29+AL29+AP29+AT29+AX29)/10</f>
        <v>1.0499999999999999E-3</v>
      </c>
      <c r="E29" s="29">
        <f>SQRT(((N29-D29)^2+(R29-D29)^2+(V29-D29)^2+(Z29-D29)^2+(AD29-D29)^2+(AH29-D29)^2+(AL29-D29)^2+(AP29-D29)^2+(AT29-D29)^2+(AX29-D29)^2)/10)</f>
        <v>1.6278820596099706E-4</v>
      </c>
      <c r="F29" s="79">
        <f>E29/D29</f>
        <v>0.15503638662952102</v>
      </c>
      <c r="G29" s="15">
        <f>(O29+S29+W29+AA29+AE29+AI29+AM29+AQ29+AU29+AY29)/10</f>
        <v>5.5000000000000007E-2</v>
      </c>
      <c r="H29" s="25">
        <f>SQRT(((O29-G29)^2+(S29-G29)^2+(W29-G29)^2+(AA29-G29)^2+(AE29-G29)^2+(AI29-G29)^2+(AM29-G29)^2+(AQ29-G29)^2+(AU29-G29)^2+(AY29-G29)^2)/10)</f>
        <v>1.3601470508735445E-2</v>
      </c>
      <c r="I29" s="31">
        <f>H29/G29</f>
        <v>0.24729946379518988</v>
      </c>
      <c r="J29" s="25">
        <f>(P29+T29+X29+AB29+AF29+AJ29+AN29+AR29+AV29+AZ29)/10</f>
        <v>7.0999999999999991E-4</v>
      </c>
      <c r="K29" s="25">
        <f>SQRT(((P29-J29)^2+(T29-J29)^2+(X29-J29)^2+(AB29-J29)^2+(AF29-J29)^2+(AJ29-J29)^2+(AN29-J29)^2+(AR29-J29)^2+(AV29-J29)^2+(AZ29-J29)^2)/10)</f>
        <v>2.7E-4</v>
      </c>
      <c r="L29" s="31">
        <f>K29/J29</f>
        <v>0.38028169014084512</v>
      </c>
      <c r="N29" s="75">
        <v>8.9999999999999998E-4</v>
      </c>
      <c r="O29" s="81">
        <v>0.05</v>
      </c>
      <c r="P29" s="25">
        <v>5.0000000000000001E-4</v>
      </c>
      <c r="R29" s="75">
        <v>8.9999999999999998E-4</v>
      </c>
      <c r="S29" s="81">
        <v>0.06</v>
      </c>
      <c r="T29" s="83">
        <v>5.9999999999999995E-4</v>
      </c>
      <c r="V29" s="75">
        <v>1.1000000000000001E-3</v>
      </c>
      <c r="W29" s="81">
        <v>7.0000000000000007E-2</v>
      </c>
      <c r="X29" s="83">
        <v>8.0000000000000004E-4</v>
      </c>
      <c r="Z29" s="75">
        <v>1.2999999999999999E-3</v>
      </c>
      <c r="AA29" s="81">
        <v>0.08</v>
      </c>
      <c r="AB29" s="83">
        <v>1.4E-3</v>
      </c>
      <c r="AD29" s="75">
        <v>1.2999999999999999E-3</v>
      </c>
      <c r="AE29" s="81">
        <v>0.06</v>
      </c>
      <c r="AF29" s="83">
        <v>8.9999999999999998E-4</v>
      </c>
      <c r="AH29" s="75">
        <v>8.9999999999999998E-4</v>
      </c>
      <c r="AI29" s="81">
        <v>0.06</v>
      </c>
      <c r="AJ29" s="83">
        <v>5.9999999999999995E-4</v>
      </c>
      <c r="AL29" s="75">
        <v>8.9999999999999998E-4</v>
      </c>
      <c r="AM29" s="81">
        <v>0.04</v>
      </c>
      <c r="AN29" s="83">
        <v>5.0000000000000001E-4</v>
      </c>
      <c r="AO29" s="34"/>
      <c r="AP29" s="84">
        <v>1.1000000000000001E-3</v>
      </c>
      <c r="AQ29" s="85">
        <v>0.05</v>
      </c>
      <c r="AR29" s="83">
        <v>6.9999999999999999E-4</v>
      </c>
      <c r="AT29" s="75">
        <v>1.1999999999999999E-3</v>
      </c>
      <c r="AU29" s="81">
        <v>0.05</v>
      </c>
      <c r="AV29" s="83">
        <v>6.9999999999999999E-4</v>
      </c>
      <c r="AX29" s="75">
        <v>8.9999999999999998E-4</v>
      </c>
      <c r="AY29" s="81">
        <v>0.03</v>
      </c>
      <c r="AZ29" s="83">
        <v>4.0000000000000002E-4</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-0.1382441825324876</v>
      </c>
      <c r="D33" s="29">
        <f>(N33+R33+V33+Z33+AD33+AH33+AL33+AP33+AT33+AX33)/10</f>
        <v>0.66180000000000017</v>
      </c>
      <c r="E33" s="29">
        <f>SQRT(((N33-D33)^2+(R33-D33)^2+(V33-D33)^2+(Z33-D33)^2+(AD33-D33)^2+(AH33-D33)^2+(AL33-D33)^2+(AP33-D33)^2+(AT33-D33)^2+(AX33-D33)^2)/10)</f>
        <v>1.1102230246251565E-16</v>
      </c>
      <c r="F33" s="79">
        <f>E33/D33</f>
        <v>1.6775808773423335E-16</v>
      </c>
      <c r="G33" s="15">
        <f>(O33+S33+W33+AA33+AE33+AI33+AM33+AQ33+AU33+AY33)/10</f>
        <v>0.88000000000000012</v>
      </c>
      <c r="H33" s="25">
        <f>SQRT(((O33-G33)^2+(S33-G33)^2+(W33-G33)^2+(AA33-G33)^2+(AE33-G33)^2+(AI33-G33)^2+(AM33-G33)^2+(AQ33-G33)^2+(AU33-G33)^2+(AY33-G33)^2)/10)</f>
        <v>1.1102230246251565E-16</v>
      </c>
      <c r="I33" s="31">
        <f>H33/G33</f>
        <v>1.2616170734376778E-16</v>
      </c>
      <c r="J33" s="25">
        <f>(P33+T33+X33+AB33+AF33+AJ33+AN33+AR33+AV33+AZ33)/10</f>
        <v>0.1099</v>
      </c>
      <c r="K33" s="25">
        <f>SQRT(((P33-J33)^2+(T33-J33)^2+(X33-J33)^2+(AB33-J33)^2+(AF33-J33)^2+(AJ33-J33)^2+(AN33-J33)^2+(AR33-J33)^2+(AV33-J33)^2+(AZ33-J33)^2)/10)</f>
        <v>0</v>
      </c>
      <c r="L33" s="31">
        <f>K33/J33</f>
        <v>0</v>
      </c>
      <c r="N33" s="75">
        <v>0.66180000000000005</v>
      </c>
      <c r="O33" s="81">
        <v>0.88</v>
      </c>
      <c r="P33" s="25">
        <v>0.1099</v>
      </c>
      <c r="R33" s="75">
        <v>0.66180000000000005</v>
      </c>
      <c r="S33" s="81">
        <v>0.88</v>
      </c>
      <c r="T33" s="25">
        <v>0.1099</v>
      </c>
      <c r="V33" s="75">
        <v>0.66180000000000005</v>
      </c>
      <c r="W33" s="81">
        <v>0.88</v>
      </c>
      <c r="X33" s="25">
        <v>0.1099</v>
      </c>
      <c r="Z33" s="75">
        <v>0.66180000000000005</v>
      </c>
      <c r="AA33" s="81">
        <v>0.88</v>
      </c>
      <c r="AB33" s="25">
        <v>0.1099</v>
      </c>
      <c r="AD33" s="75">
        <v>0.66180000000000005</v>
      </c>
      <c r="AE33" s="81">
        <v>0.88</v>
      </c>
      <c r="AF33" s="25">
        <v>0.1099</v>
      </c>
      <c r="AH33" s="75">
        <v>0.66180000000000005</v>
      </c>
      <c r="AI33" s="81">
        <v>0.88</v>
      </c>
      <c r="AJ33" s="25">
        <v>0.1099</v>
      </c>
      <c r="AL33" s="75">
        <v>0.66180000000000005</v>
      </c>
      <c r="AM33" s="81">
        <v>0.88</v>
      </c>
      <c r="AN33" s="25">
        <v>0.1099</v>
      </c>
      <c r="AP33" s="75">
        <v>0.66180000000000005</v>
      </c>
      <c r="AQ33" s="81">
        <v>0.88</v>
      </c>
      <c r="AR33" s="25">
        <v>0.1099</v>
      </c>
      <c r="AT33" s="75">
        <v>0.66180000000000005</v>
      </c>
      <c r="AU33" s="81">
        <v>0.88</v>
      </c>
      <c r="AV33" s="25">
        <v>0.1099</v>
      </c>
      <c r="AX33" s="75">
        <v>0.66180000000000005</v>
      </c>
      <c r="AY33" s="81">
        <v>0.88</v>
      </c>
      <c r="AZ33" s="25">
        <v>0.1099</v>
      </c>
    </row>
    <row r="34" spans="1:52" ht="33.6" x14ac:dyDescent="0.3">
      <c r="A34" s="3"/>
      <c r="B34" s="86" t="s">
        <v>46</v>
      </c>
      <c r="C34" s="80"/>
      <c r="D34" s="29">
        <f>(N34+R34+V34+Z34+AD34+AH34+AL34+AP34+AT34+AX34)/10</f>
        <v>0.57030999999999987</v>
      </c>
      <c r="E34" s="29">
        <f>SQRT(((N34-D34)^2+(R34-D34)^2+(V34-D34)^2+(Z34-D34)^2+(AD34-D34)^2+(AH34-D34)^2+(AL34-D34)^2+(AP34-D34)^2+(AT34-D34)^2+(AX34-D34)^2)/10)</f>
        <v>9.480058491380737E-2</v>
      </c>
      <c r="F34" s="79">
        <f>E34/D34</f>
        <v>0.16622641180026196</v>
      </c>
      <c r="G34" s="15">
        <f>(O34+S34+W34+AA34+AE34+AI34+AM34+AQ34+AU34+AY34)/10</f>
        <v>0.87299999999999989</v>
      </c>
      <c r="H34" s="25">
        <f>SQRT(((O34-G34)^2+(S34-G34)^2+(W34-G34)^2+(AA34-G34)^2+(AE34-G34)^2+(AI34-G34)^2+(AM34-G34)^2+(AQ34-G34)^2+(AU34-G34)^2+(AY34-G34)^2)/10)</f>
        <v>1.4866068747318517E-2</v>
      </c>
      <c r="I34" s="62">
        <f>H34/G34</f>
        <v>1.7028715632667262E-2</v>
      </c>
      <c r="J34" s="25">
        <f>(P34+T34+X34+AB34+AF34+AJ34+AN34+AR34+AV34+AZ34)/10</f>
        <v>8.8910000000000003E-2</v>
      </c>
      <c r="K34" s="25">
        <f>SQRT(((P34-J34)^2+(T34-J34)^2+(X34-J34)^2+(AB34-J34)^2+(AF34-J34)^2+(AJ34-J34)^2+(AN34-J34)^2+(AR34-J34)^2+(AV34-J34)^2+(AZ34-J34)^2)/10)</f>
        <v>1.0053402409134927E-2</v>
      </c>
      <c r="L34" s="62">
        <f>K34/J34</f>
        <v>0.11307392204628193</v>
      </c>
      <c r="N34" s="75">
        <v>0.48370000000000002</v>
      </c>
      <c r="O34" s="81">
        <v>0.88</v>
      </c>
      <c r="P34" s="25">
        <v>9.4299999999999995E-2</v>
      </c>
      <c r="R34" s="75">
        <v>0.53869999999999996</v>
      </c>
      <c r="S34" s="81">
        <v>0.89</v>
      </c>
      <c r="T34" s="25">
        <v>7.0699999999999999E-2</v>
      </c>
      <c r="V34" s="75">
        <v>0.63290000000000002</v>
      </c>
      <c r="W34" s="81">
        <v>0.87</v>
      </c>
      <c r="X34" s="25">
        <v>8.3000000000000004E-2</v>
      </c>
      <c r="Z34" s="75">
        <v>0.6351</v>
      </c>
      <c r="AA34" s="81">
        <v>0.88</v>
      </c>
      <c r="AB34" s="25">
        <v>0.10009999999999999</v>
      </c>
      <c r="AD34" s="75">
        <v>0.67459999999999998</v>
      </c>
      <c r="AE34" s="81">
        <v>0.89</v>
      </c>
      <c r="AF34" s="25">
        <v>8.5599999999999996E-2</v>
      </c>
      <c r="AH34" s="75">
        <v>0.54469999999999996</v>
      </c>
      <c r="AI34" s="81">
        <v>0.87</v>
      </c>
      <c r="AJ34" s="25">
        <v>8.3500000000000005E-2</v>
      </c>
      <c r="AL34" s="75">
        <v>0.62709999999999999</v>
      </c>
      <c r="AM34" s="81">
        <v>0.89</v>
      </c>
      <c r="AN34" s="25">
        <v>8.9499999999999996E-2</v>
      </c>
      <c r="AP34" s="75">
        <v>0.34039999999999998</v>
      </c>
      <c r="AQ34" s="81">
        <v>0.85</v>
      </c>
      <c r="AR34" s="25">
        <v>8.9899999999999994E-2</v>
      </c>
      <c r="AT34" s="75">
        <v>0.64459999999999995</v>
      </c>
      <c r="AU34" s="81">
        <v>0.85</v>
      </c>
      <c r="AV34" s="25">
        <v>0.10929999999999999</v>
      </c>
      <c r="AX34" s="75">
        <v>0.58130000000000004</v>
      </c>
      <c r="AY34" s="81">
        <v>0.86</v>
      </c>
      <c r="AZ34" s="25">
        <v>8.3199999999999996E-2</v>
      </c>
    </row>
    <row r="35" spans="1:52" ht="16.8" x14ac:dyDescent="0.3">
      <c r="B35" s="86" t="s">
        <v>5</v>
      </c>
      <c r="C35" s="78">
        <f>D34/D35-1</f>
        <v>21.062282398452606</v>
      </c>
      <c r="D35" s="29">
        <f>(N35+R35+V35+Z35+AD35+AH35+AL35+AP35+AT35+AX35)/10</f>
        <v>2.5850000000000001E-2</v>
      </c>
      <c r="E35" s="29">
        <f>SQRT(((N35-D35)^2+(R35-D35)^2+(V35-D35)^2+(Z35-D35)^2+(AD35-D35)^2+(AH35-D35)^2+(AL35-D35)^2+(AP35-D35)^2+(AT35-D35)^2+(AX35-D35)^2)/10)</f>
        <v>3.5236891179557826E-2</v>
      </c>
      <c r="F35" s="79">
        <f>E35/D35</f>
        <v>1.3631292525941132</v>
      </c>
      <c r="G35" s="15">
        <f>(O35+S35+W35+AA35+AE35+AI35+AM35+AQ35+AU35+AY35)/10</f>
        <v>0</v>
      </c>
      <c r="H35" s="25">
        <f>SQRT(((O35-G35)^2+(S35-G35)^2+(W35-G35)^2+(AA35-G35)^2+(AE35-G35)^2+(AI35-G35)^2+(AM35-G35)^2+(AQ35-G35)^2+(AU35-G35)^2+(AY35-G35)^2)/10)</f>
        <v>0</v>
      </c>
      <c r="I35" s="31" t="e">
        <f>H35/G35</f>
        <v>#DIV/0!</v>
      </c>
      <c r="J35" s="25">
        <f>(P35+T35+X35+AB35+AF35+AJ35+AN35+AR35+AV35+AZ35)/10</f>
        <v>0</v>
      </c>
      <c r="K35" s="25">
        <f>SQRT(((P35-J35)^2+(T35-J35)^2+(X35-J35)^2+(AB35-J35)^2+(AF35-J35)^2+(AJ35-J35)^2+(AN35-J35)^2+(AR35-J35)^2+(AV35-J35)^2+(AZ35-J35)^2)/10)</f>
        <v>0</v>
      </c>
      <c r="L35" s="31" t="e">
        <f>K35/J35</f>
        <v>#DIV/0!</v>
      </c>
      <c r="N35" s="75">
        <v>6.7000000000000002E-3</v>
      </c>
      <c r="O35" s="25">
        <v>0</v>
      </c>
      <c r="P35" s="25">
        <v>0</v>
      </c>
      <c r="R35" s="75">
        <v>1.8200000000000001E-2</v>
      </c>
      <c r="S35" s="81">
        <v>0</v>
      </c>
      <c r="T35" s="82">
        <v>0</v>
      </c>
      <c r="V35" s="75">
        <v>5.11E-2</v>
      </c>
      <c r="W35" s="81">
        <v>0</v>
      </c>
      <c r="X35" s="82">
        <v>0</v>
      </c>
      <c r="Z35" s="75">
        <v>0.107</v>
      </c>
      <c r="AA35" s="81">
        <v>0</v>
      </c>
      <c r="AB35" s="82">
        <v>0</v>
      </c>
      <c r="AD35" s="75">
        <v>1.6000000000000001E-3</v>
      </c>
      <c r="AE35" s="81">
        <v>0</v>
      </c>
      <c r="AF35" s="82">
        <v>0</v>
      </c>
      <c r="AH35" s="75">
        <v>1.6999999999999999E-3</v>
      </c>
      <c r="AI35" s="81">
        <v>0</v>
      </c>
      <c r="AJ35" s="82">
        <v>0</v>
      </c>
      <c r="AL35" s="75">
        <v>6.8199999999999997E-2</v>
      </c>
      <c r="AM35" s="81">
        <v>0</v>
      </c>
      <c r="AN35" s="82">
        <v>0</v>
      </c>
      <c r="AP35" s="75">
        <v>1.2999999999999999E-3</v>
      </c>
      <c r="AQ35" s="81">
        <v>0</v>
      </c>
      <c r="AR35" s="82">
        <v>0</v>
      </c>
      <c r="AT35" s="75">
        <v>1E-3</v>
      </c>
      <c r="AU35" s="81">
        <v>0</v>
      </c>
      <c r="AV35" s="82">
        <v>0</v>
      </c>
      <c r="AX35" s="75">
        <v>1.6999999999999999E-3</v>
      </c>
      <c r="AY35" s="81">
        <v>0</v>
      </c>
      <c r="AZ35" s="82">
        <v>0</v>
      </c>
    </row>
    <row r="36" spans="1:52" ht="16.8" x14ac:dyDescent="0.3">
      <c r="B36" s="86" t="s">
        <v>1</v>
      </c>
      <c r="C36" s="87">
        <f>D34/D36-1</f>
        <v>-0.19083157162923348</v>
      </c>
      <c r="D36" s="29">
        <f>(N36+R36+V36+Z36+AD36+AH36+AL36+AP36+AT36+AX36)/10</f>
        <v>0.70480999999999994</v>
      </c>
      <c r="E36" s="29">
        <f>SQRT(((N36-D36)^2+(R36-D36)^2+(V36-D36)^2+(Z36-D36)^2+(AD36-D36)^2+(AH36-D36)^2+(AL36-D36)^2+(AP36-D36)^2+(AT36-D36)^2+(AX36-D36)^2)/10)</f>
        <v>4.0313085964733583E-2</v>
      </c>
      <c r="F36" s="79">
        <f>E36/D36</f>
        <v>5.7197097039959122E-2</v>
      </c>
      <c r="G36" s="15">
        <f>(O36+S36+W36+AA36+AE36+AI36+AM36+AQ36+AU36+AY36)/10</f>
        <v>0.76500000000000001</v>
      </c>
      <c r="H36" s="25">
        <f>SQRT(((O36-G36)^2+(S36-G36)^2+(W36-G36)^2+(AA36-G36)^2+(AE36-G36)^2+(AI36-G36)^2+(AM36-G36)^2+(AQ36-G36)^2+(AU36-G36)^2+(AY36-G36)^2)/10)</f>
        <v>1.1180339887498959E-2</v>
      </c>
      <c r="I36" s="31">
        <f>H36/G36</f>
        <v>1.461482338235158E-2</v>
      </c>
      <c r="J36" s="25">
        <f>(P36+T36+X36+AB36+AF36+AJ36+AN36+AR36+AV36+AZ36)/10</f>
        <v>0.65749999999999997</v>
      </c>
      <c r="K36" s="25">
        <f>SQRT(((P36-J36)^2+(T36-J36)^2+(X36-J36)^2+(AB36-J36)^2+(AF36-J36)^2+(AJ36-J36)^2+(AN36-J36)^2+(AR36-J36)^2+(AV36-J36)^2+(AZ36-J36)^2)/10)</f>
        <v>4.7885070742351418E-2</v>
      </c>
      <c r="L36" s="31">
        <f>K36/J36</f>
        <v>7.2829004931332958E-2</v>
      </c>
      <c r="N36" s="75">
        <v>0.66390000000000005</v>
      </c>
      <c r="O36" s="25">
        <v>0.76</v>
      </c>
      <c r="P36" s="25">
        <v>0.59140000000000004</v>
      </c>
      <c r="R36" s="75">
        <v>0.69030000000000002</v>
      </c>
      <c r="S36" s="81">
        <v>0.79</v>
      </c>
      <c r="T36" s="83">
        <v>0.61</v>
      </c>
      <c r="V36" s="75">
        <v>0.75039999999999996</v>
      </c>
      <c r="W36" s="81">
        <v>0.77</v>
      </c>
      <c r="X36" s="83">
        <v>0.69369999999999998</v>
      </c>
      <c r="Z36" s="75">
        <v>0.75660000000000005</v>
      </c>
      <c r="AA36" s="81">
        <v>0.77</v>
      </c>
      <c r="AB36" s="83">
        <v>0.71960000000000002</v>
      </c>
      <c r="AD36" s="75">
        <v>0.66500000000000004</v>
      </c>
      <c r="AE36" s="81">
        <v>0.77</v>
      </c>
      <c r="AF36" s="83">
        <v>0.66959999999999997</v>
      </c>
      <c r="AH36" s="75">
        <v>0.72089999999999999</v>
      </c>
      <c r="AI36" s="81">
        <v>0.75</v>
      </c>
      <c r="AJ36" s="83">
        <v>0.6522</v>
      </c>
      <c r="AL36" s="75">
        <v>0.66839999999999999</v>
      </c>
      <c r="AM36" s="81">
        <v>0.76</v>
      </c>
      <c r="AN36" s="83">
        <v>0.60319999999999996</v>
      </c>
      <c r="AP36" s="75">
        <v>0.69869999999999999</v>
      </c>
      <c r="AQ36" s="81">
        <v>0.76</v>
      </c>
      <c r="AR36" s="83">
        <v>0.69720000000000004</v>
      </c>
      <c r="AT36" s="75">
        <v>0.7722</v>
      </c>
      <c r="AU36" s="81">
        <v>0.75</v>
      </c>
      <c r="AV36" s="83">
        <v>0.72460000000000002</v>
      </c>
      <c r="AX36" s="75">
        <v>0.66169999999999995</v>
      </c>
      <c r="AY36" s="81">
        <v>0.77</v>
      </c>
      <c r="AZ36" s="83">
        <v>0.61350000000000005</v>
      </c>
    </row>
    <row r="37" spans="1:52" ht="16.8" x14ac:dyDescent="0.3">
      <c r="B37" s="86" t="s">
        <v>11</v>
      </c>
      <c r="C37" s="78">
        <f>D34/D37-1</f>
        <v>542.15238095238089</v>
      </c>
      <c r="D37" s="29">
        <f>(N37+R37+V37+Z37+AD37+AH37+AL37+AP37+AT37+AX37)/10</f>
        <v>1.0499999999999999E-3</v>
      </c>
      <c r="E37" s="29">
        <f>SQRT(((N37-D37)^2+(R37-D37)^2+(V37-D37)^2+(Z37-D37)^2+(AD37-D37)^2+(AH37-D37)^2+(AL37-D37)^2+(AP37-D37)^2+(AT37-D37)^2+(AX37-D37)^2)/10)</f>
        <v>1.6278820596099706E-4</v>
      </c>
      <c r="F37" s="79">
        <f>E37/D37</f>
        <v>0.15503638662952102</v>
      </c>
      <c r="G37" s="15">
        <f>(O37+S37+W37+AA37+AE37+AI37+AM37+AQ37+AU37+AY37)/10</f>
        <v>5.5000000000000007E-2</v>
      </c>
      <c r="H37" s="25">
        <f>SQRT(((O37-G37)^2+(S37-G37)^2+(W37-G37)^2+(AA37-G37)^2+(AE37-G37)^2+(AI37-G37)^2+(AM37-G37)^2+(AQ37-G37)^2+(AU37-G37)^2+(AY37-G37)^2)/10)</f>
        <v>1.3601470508735445E-2</v>
      </c>
      <c r="I37" s="31">
        <f>H37/G37</f>
        <v>0.24729946379518988</v>
      </c>
      <c r="J37" s="25">
        <f>(P37+T37+X37+AB37+AF37+AJ37+AN37+AR37+AV37+AZ37)/10</f>
        <v>7.0999999999999991E-4</v>
      </c>
      <c r="K37" s="25">
        <f>SQRT(((P37-J37)^2+(T37-J37)^2+(X37-J37)^2+(AB37-J37)^2+(AF37-J37)^2+(AJ37-J37)^2+(AN37-J37)^2+(AR37-J37)^2+(AV37-J37)^2+(AZ37-J37)^2)/10)</f>
        <v>2.7E-4</v>
      </c>
      <c r="L37" s="31">
        <f>K37/J37</f>
        <v>0.38028169014084512</v>
      </c>
      <c r="N37" s="75">
        <v>8.9999999999999998E-4</v>
      </c>
      <c r="O37" s="81">
        <v>0.05</v>
      </c>
      <c r="P37" s="25">
        <v>5.0000000000000001E-4</v>
      </c>
      <c r="R37" s="75">
        <v>8.9999999999999998E-4</v>
      </c>
      <c r="S37" s="81">
        <v>0.06</v>
      </c>
      <c r="T37" s="83">
        <v>5.9999999999999995E-4</v>
      </c>
      <c r="V37" s="75">
        <v>1.1000000000000001E-3</v>
      </c>
      <c r="W37" s="81">
        <v>7.0000000000000007E-2</v>
      </c>
      <c r="X37" s="83">
        <v>8.0000000000000004E-4</v>
      </c>
      <c r="Z37" s="75">
        <v>1.2999999999999999E-3</v>
      </c>
      <c r="AA37" s="81">
        <v>0.08</v>
      </c>
      <c r="AB37" s="83">
        <v>1.4E-3</v>
      </c>
      <c r="AD37" s="75">
        <v>1.2999999999999999E-3</v>
      </c>
      <c r="AE37" s="81">
        <v>0.06</v>
      </c>
      <c r="AF37" s="83">
        <v>8.9999999999999998E-4</v>
      </c>
      <c r="AH37" s="75">
        <v>8.9999999999999998E-4</v>
      </c>
      <c r="AI37" s="81">
        <v>0.06</v>
      </c>
      <c r="AJ37" s="83">
        <v>5.9999999999999995E-4</v>
      </c>
      <c r="AL37" s="75">
        <v>8.9999999999999998E-4</v>
      </c>
      <c r="AM37" s="81">
        <v>0.04</v>
      </c>
      <c r="AN37" s="83">
        <v>5.0000000000000001E-4</v>
      </c>
      <c r="AO37" s="34"/>
      <c r="AP37" s="84">
        <v>1.1000000000000001E-3</v>
      </c>
      <c r="AQ37" s="85">
        <v>0.05</v>
      </c>
      <c r="AR37" s="83">
        <v>6.9999999999999999E-4</v>
      </c>
      <c r="AT37" s="75">
        <v>1.1999999999999999E-3</v>
      </c>
      <c r="AU37" s="81">
        <v>0.05</v>
      </c>
      <c r="AV37" s="83">
        <v>6.9999999999999999E-4</v>
      </c>
      <c r="AX37" s="75">
        <v>8.9999999999999998E-4</v>
      </c>
      <c r="AY37" s="81">
        <v>0.03</v>
      </c>
      <c r="AZ37" s="83">
        <v>4.0000000000000002E-4</v>
      </c>
    </row>
  </sheetData>
  <mergeCells count="110">
    <mergeCell ref="C7:C8"/>
    <mergeCell ref="D7:F7"/>
    <mergeCell ref="G7:I7"/>
    <mergeCell ref="J7:L7"/>
    <mergeCell ref="N7:N8"/>
    <mergeCell ref="O7:P7"/>
    <mergeCell ref="B2:AZ2"/>
    <mergeCell ref="B3:AZ3"/>
    <mergeCell ref="N5:AZ5"/>
    <mergeCell ref="G6:K6"/>
    <mergeCell ref="N6:P6"/>
    <mergeCell ref="R6:T6"/>
    <mergeCell ref="V6:X6"/>
    <mergeCell ref="Z6:AB6"/>
    <mergeCell ref="AD6:AF6"/>
    <mergeCell ref="AH6:AJ6"/>
    <mergeCell ref="R7:R8"/>
    <mergeCell ref="S7:T7"/>
    <mergeCell ref="V7:V8"/>
    <mergeCell ref="W7:X7"/>
    <mergeCell ref="Z7:Z8"/>
    <mergeCell ref="AA7:AB7"/>
    <mergeCell ref="AL6:AN6"/>
    <mergeCell ref="AP6:AR6"/>
    <mergeCell ref="AT6:AV6"/>
    <mergeCell ref="AP7:AP8"/>
    <mergeCell ref="AQ7:AR7"/>
    <mergeCell ref="AT7:AT8"/>
    <mergeCell ref="AU7:AV7"/>
    <mergeCell ref="AX7:AX8"/>
    <mergeCell ref="AY7:AZ7"/>
    <mergeCell ref="AD7:AD8"/>
    <mergeCell ref="AE7:AF7"/>
    <mergeCell ref="AH7:AH8"/>
    <mergeCell ref="AI7:AJ7"/>
    <mergeCell ref="AL7:AL8"/>
    <mergeCell ref="AM7:AN7"/>
    <mergeCell ref="AX6:AZ6"/>
    <mergeCell ref="R15:R16"/>
    <mergeCell ref="S15:T15"/>
    <mergeCell ref="V15:V16"/>
    <mergeCell ref="W15:X15"/>
    <mergeCell ref="Z15:Z16"/>
    <mergeCell ref="AA15:AB15"/>
    <mergeCell ref="C15:C16"/>
    <mergeCell ref="D15:F15"/>
    <mergeCell ref="G15:I15"/>
    <mergeCell ref="J15:L15"/>
    <mergeCell ref="N15:N16"/>
    <mergeCell ref="O15:P15"/>
    <mergeCell ref="AP15:AP16"/>
    <mergeCell ref="AQ15:AR15"/>
    <mergeCell ref="AT15:AT16"/>
    <mergeCell ref="AU15:AV15"/>
    <mergeCell ref="AX15:AX16"/>
    <mergeCell ref="AY15:AZ15"/>
    <mergeCell ref="AD15:AD16"/>
    <mergeCell ref="AE15:AF15"/>
    <mergeCell ref="AH15:AH16"/>
    <mergeCell ref="AI15:AJ15"/>
    <mergeCell ref="AL15:AL16"/>
    <mergeCell ref="AM15:AN15"/>
    <mergeCell ref="R23:R24"/>
    <mergeCell ref="S23:T23"/>
    <mergeCell ref="V23:V24"/>
    <mergeCell ref="W23:X23"/>
    <mergeCell ref="Z23:Z24"/>
    <mergeCell ref="AA23:AB23"/>
    <mergeCell ref="C23:C24"/>
    <mergeCell ref="D23:F23"/>
    <mergeCell ref="G23:I23"/>
    <mergeCell ref="J23:L23"/>
    <mergeCell ref="N23:N24"/>
    <mergeCell ref="O23:P23"/>
    <mergeCell ref="AP23:AP24"/>
    <mergeCell ref="AQ23:AR23"/>
    <mergeCell ref="AT23:AT24"/>
    <mergeCell ref="AU23:AV23"/>
    <mergeCell ref="AX23:AX24"/>
    <mergeCell ref="AY23:AZ23"/>
    <mergeCell ref="AD23:AD24"/>
    <mergeCell ref="AE23:AF23"/>
    <mergeCell ref="AH23:AH24"/>
    <mergeCell ref="AI23:AJ23"/>
    <mergeCell ref="AL23:AL24"/>
    <mergeCell ref="AM23:AN23"/>
    <mergeCell ref="R31:R32"/>
    <mergeCell ref="S31:T31"/>
    <mergeCell ref="V31:V32"/>
    <mergeCell ref="W31:X31"/>
    <mergeCell ref="Z31:Z32"/>
    <mergeCell ref="AA31:AB31"/>
    <mergeCell ref="C31:C32"/>
    <mergeCell ref="D31:F31"/>
    <mergeCell ref="G31:I31"/>
    <mergeCell ref="J31:L31"/>
    <mergeCell ref="N31:N32"/>
    <mergeCell ref="O31:P31"/>
    <mergeCell ref="AP31:AP32"/>
    <mergeCell ref="AQ31:AR31"/>
    <mergeCell ref="AT31:AT32"/>
    <mergeCell ref="AU31:AV31"/>
    <mergeCell ref="AX31:AX32"/>
    <mergeCell ref="AY31:AZ31"/>
    <mergeCell ref="AD31:AD32"/>
    <mergeCell ref="AE31:AF31"/>
    <mergeCell ref="AH31:AH32"/>
    <mergeCell ref="AI31:AJ31"/>
    <mergeCell ref="AL31:AL32"/>
    <mergeCell ref="AM31:AN31"/>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55F4-2D74-40A7-8B1A-CEC73667E848}">
  <dimension ref="A1:AZ37"/>
  <sheetViews>
    <sheetView topLeftCell="B1"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107.4" customHeight="1" x14ac:dyDescent="0.3">
      <c r="B2" s="164" t="s">
        <v>66</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36" customHeight="1" x14ac:dyDescent="0.3">
      <c r="B3" s="164" t="s">
        <v>75</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0.5</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7.669898493331484E-2</v>
      </c>
      <c r="D9" s="29">
        <f>(N9+R9+V9+Z9+AD9+AH9+AL9+AP9+AT9+AX9)/10</f>
        <v>0.65907000000000004</v>
      </c>
      <c r="E9" s="29">
        <f>SQRT(((N9-D9)^2+(R9-D9)^2+(V9-D9)^2+(Z9-D9)^2+(AD9-D9)^2+(AH9-D9)^2+(AL9-D9)^2+(AP9-D9)^2+(AT9-D9)^2+(AX9-D9)^2)/10)</f>
        <v>2.799660693727024E-3</v>
      </c>
      <c r="F9" s="79">
        <f>E9/D9</f>
        <v>4.2478958133840465E-3</v>
      </c>
      <c r="G9" s="15">
        <f>(O9+S9+W9+AA9+AE9+AI9+AM9+AQ9+AU9+AY9)/10</f>
        <v>0.59799999999999986</v>
      </c>
      <c r="H9" s="25">
        <f>SQRT(((O9-G9)^2+(S9-G9)^2+(W9-G9)^2+(AA9-G9)^2+(AE9-G9)^2+(AI9-G9)^2+(AM9-G9)^2+(AQ9-G9)^2+(AU9-G9)^2+(AY9-G9)^2)/10)</f>
        <v>6.0000000000000071E-3</v>
      </c>
      <c r="I9" s="31">
        <f>H9/G9</f>
        <v>1.0033444816053526E-2</v>
      </c>
      <c r="J9" s="25">
        <f>(P9+T9+X9+AB9+AF9+AJ9+AN9+AR9+AV9+AZ9)/10</f>
        <v>0.59943999999999997</v>
      </c>
      <c r="K9" s="25">
        <f>SQRT(((P9-J9)^2+(T9-J9)^2+(X9-J9)^2+(AB9-J9)^2+(AF9-J9)^2+(AJ9-J9)^2+(AN9-J9)^2+(AR9-J9)^2+(AV9-J9)^2+(AZ9-J9)^2)/10)</f>
        <v>8.760273968318558E-3</v>
      </c>
      <c r="L9" s="31">
        <f>K9/J9</f>
        <v>1.4614096437205655E-2</v>
      </c>
      <c r="N9" s="75">
        <v>0.65439999999999998</v>
      </c>
      <c r="O9" s="81">
        <v>0.57999999999999996</v>
      </c>
      <c r="P9" s="25">
        <v>0.57340000000000002</v>
      </c>
      <c r="R9" s="75">
        <v>0.66090000000000004</v>
      </c>
      <c r="S9" s="81">
        <v>0.6</v>
      </c>
      <c r="T9" s="25">
        <v>0.60299999999999998</v>
      </c>
      <c r="V9" s="75">
        <v>0.66090000000000004</v>
      </c>
      <c r="W9" s="81">
        <v>0.6</v>
      </c>
      <c r="X9" s="25">
        <v>0.60299999999999998</v>
      </c>
      <c r="Z9" s="75">
        <v>0.66090000000000004</v>
      </c>
      <c r="AA9" s="81">
        <v>0.6</v>
      </c>
      <c r="AB9" s="25">
        <v>0.60299999999999998</v>
      </c>
      <c r="AD9" s="75">
        <v>0.65500000000000003</v>
      </c>
      <c r="AE9" s="81">
        <v>0.6</v>
      </c>
      <c r="AF9" s="25">
        <v>0.6</v>
      </c>
      <c r="AH9" s="75">
        <v>0.65500000000000003</v>
      </c>
      <c r="AI9" s="81">
        <v>0.6</v>
      </c>
      <c r="AJ9" s="25">
        <v>0.6</v>
      </c>
      <c r="AL9" s="75">
        <v>0.66090000000000004</v>
      </c>
      <c r="AM9" s="81">
        <v>0.6</v>
      </c>
      <c r="AN9" s="25">
        <v>0.60299999999999998</v>
      </c>
      <c r="AP9" s="75">
        <v>0.66090000000000004</v>
      </c>
      <c r="AQ9" s="81">
        <v>0.6</v>
      </c>
      <c r="AR9" s="25">
        <v>0.60299999999999998</v>
      </c>
      <c r="AT9" s="75">
        <v>0.66090000000000004</v>
      </c>
      <c r="AU9" s="81">
        <v>0.6</v>
      </c>
      <c r="AV9" s="25">
        <v>0.60299999999999998</v>
      </c>
      <c r="AX9" s="75">
        <v>0.66090000000000004</v>
      </c>
      <c r="AY9" s="81">
        <v>0.6</v>
      </c>
      <c r="AZ9" s="25">
        <v>0.60299999999999998</v>
      </c>
    </row>
    <row r="10" spans="1:52" ht="37.799999999999997" customHeight="1" x14ac:dyDescent="0.3">
      <c r="A10" s="7"/>
      <c r="B10" s="86" t="s">
        <v>17</v>
      </c>
      <c r="C10" s="80"/>
      <c r="D10" s="29">
        <f>(N10+R10+V10+Z10+AD10+AH10+AL10+AP10+AT10+AX10)/10</f>
        <v>0.70961999999999992</v>
      </c>
      <c r="E10" s="29">
        <f>SQRT(((N10-D10)^2+(R10-D10)^2+(V10-D10)^2+(Z10-D10)^2+(AD10-D10)^2+(AH10-D10)^2+(AL10-D10)^2+(AP10-D10)^2+(AT10-D10)^2+(AX10-D10)^2)/10)</f>
        <v>1.5283965454030563E-2</v>
      </c>
      <c r="F10" s="79">
        <f>E10/D10</f>
        <v>2.1538239415504867E-2</v>
      </c>
      <c r="G10" s="15">
        <f>(O10+S10+W10+AA10+AE10+AI10+AM10+AQ10+AU10+AY10)/10</f>
        <v>0.623</v>
      </c>
      <c r="H10" s="25">
        <f>SQRT(((O10-G10)^2+(S10-G10)^2+(W10-G10)^2+(AA10-G10)^2+(AE10-G10)^2+(AI10-G10)^2+(AM10-G10)^2+(AQ10-G10)^2+(AU10-G10)^2+(AY10-G10)^2)/10)</f>
        <v>3.2878564445547223E-2</v>
      </c>
      <c r="I10" s="62">
        <f>H10/G10</f>
        <v>5.277458177455413E-2</v>
      </c>
      <c r="J10" s="25">
        <f>(P10+T10+X10+AB10+AF10+AJ10+AN10+AR10+AV10+AZ10)/10</f>
        <v>0.61626000000000003</v>
      </c>
      <c r="K10" s="25">
        <f>SQRT(((P10-J10)^2+(T10-J10)^2+(X10-J10)^2+(AB10-J10)^2+(AF10-J10)^2+(AJ10-J10)^2+(AN10-J10)^2+(AR10-J10)^2+(AV10-J10)^2+(AZ10-J10)^2)/10)</f>
        <v>2.3372043128490082E-2</v>
      </c>
      <c r="L10" s="62">
        <f>K10/J10</f>
        <v>3.7925620888083079E-2</v>
      </c>
      <c r="N10" s="75">
        <v>0.70520000000000005</v>
      </c>
      <c r="O10" s="25">
        <v>0.57999999999999996</v>
      </c>
      <c r="P10" s="25">
        <v>0.58289999999999997</v>
      </c>
      <c r="R10" s="75">
        <v>0.71760000000000002</v>
      </c>
      <c r="S10" s="81">
        <v>0.63</v>
      </c>
      <c r="T10" s="25">
        <v>0.62380000000000002</v>
      </c>
      <c r="V10" s="75">
        <v>0.68669999999999998</v>
      </c>
      <c r="W10" s="81">
        <v>0.66</v>
      </c>
      <c r="X10" s="25">
        <v>0.62260000000000004</v>
      </c>
      <c r="Z10" s="75">
        <v>0.70569999999999999</v>
      </c>
      <c r="AA10" s="81">
        <v>0.66</v>
      </c>
      <c r="AB10" s="25">
        <v>0.6502</v>
      </c>
      <c r="AD10" s="75">
        <v>0.72109999999999996</v>
      </c>
      <c r="AE10" s="81">
        <v>0.57999999999999996</v>
      </c>
      <c r="AF10" s="25">
        <v>0.59489999999999998</v>
      </c>
      <c r="AH10" s="75">
        <v>0.73329999999999995</v>
      </c>
      <c r="AI10" s="81">
        <v>0.59</v>
      </c>
      <c r="AJ10" s="25">
        <v>0.59599999999999997</v>
      </c>
      <c r="AL10" s="75">
        <v>0.6895</v>
      </c>
      <c r="AM10" s="81">
        <v>0.65</v>
      </c>
      <c r="AN10" s="25">
        <v>0.628</v>
      </c>
      <c r="AP10" s="75">
        <v>0.69489999999999996</v>
      </c>
      <c r="AQ10" s="81">
        <v>0.59</v>
      </c>
      <c r="AR10" s="25">
        <v>0.59</v>
      </c>
      <c r="AT10" s="75">
        <v>0.72929999999999995</v>
      </c>
      <c r="AU10" s="81">
        <v>0.66</v>
      </c>
      <c r="AV10" s="25">
        <v>0.65349999999999997</v>
      </c>
      <c r="AX10" s="75">
        <v>0.71289999999999998</v>
      </c>
      <c r="AY10" s="81">
        <v>0.63</v>
      </c>
      <c r="AZ10" s="25">
        <v>0.62070000000000003</v>
      </c>
    </row>
    <row r="11" spans="1:52" ht="18" customHeight="1" x14ac:dyDescent="0.3">
      <c r="A11" s="7"/>
      <c r="B11" s="86" t="s">
        <v>5</v>
      </c>
      <c r="C11" s="78">
        <f>D10/D11-1</f>
        <v>5.0930793951690312E-2</v>
      </c>
      <c r="D11" s="29">
        <f>(N11+R11+V11+Z11+AD11+AH11+AL11+AP11+AT11+AX11)/10</f>
        <v>0.67523</v>
      </c>
      <c r="E11" s="29">
        <f>SQRT(((N11-D11)^2+(R11-D11)^2+(V11-D11)^2+(Z11-D11)^2+(AD11-D11)^2+(AH11-D11)^2+(AL11-D11)^2+(AP11-D11)^2+(AT11-D11)^2+(AX11-D11)^2)/10)</f>
        <v>3.366930501213234E-2</v>
      </c>
      <c r="F11" s="79">
        <f>E11/D11</f>
        <v>4.9863461357066985E-2</v>
      </c>
      <c r="G11" s="15">
        <f>(O11+S11+W11+AA11+AE11+AI11+AM11+AQ11+AU11+AY11)/10</f>
        <v>0.66</v>
      </c>
      <c r="H11" s="25">
        <f>SQRT(((O11-G11)^2+(S11-G11)^2+(W11-G11)^2+(AA11-G11)^2+(AE11-G11)^2+(AI11-G11)^2+(AM11-G11)^2+(AQ11-G11)^2+(AU11-G11)^2+(AY11-G11)^2)/10)</f>
        <v>3.0983866769659342E-2</v>
      </c>
      <c r="I11" s="31">
        <f>H11/G11</f>
        <v>4.6945252681302028E-2</v>
      </c>
      <c r="J11" s="25">
        <f>(P11+T11+X11+AB11+AF11+AJ11+AN11+AR11+AV11+AZ11)/10</f>
        <v>0.64449000000000001</v>
      </c>
      <c r="K11" s="25">
        <f>SQRT(((P11-J11)^2+(T11-J11)^2+(X11-J11)^2+(AB11-J11)^2+(AF11-J11)^2+(AJ11-J11)^2+(AN11-J11)^2+(AR11-J11)^2+(AV11-J11)^2+(AZ11-J11)^2)/10)</f>
        <v>2.4539374482655425E-2</v>
      </c>
      <c r="L11" s="31">
        <f>K11/J11</f>
        <v>3.8075648160026419E-2</v>
      </c>
      <c r="N11" s="75">
        <v>0.65549999999999997</v>
      </c>
      <c r="O11" s="25">
        <v>0.66</v>
      </c>
      <c r="P11" s="25">
        <v>0.64710000000000001</v>
      </c>
      <c r="R11" s="75">
        <v>0.73009999999999997</v>
      </c>
      <c r="S11" s="81">
        <v>0.72</v>
      </c>
      <c r="T11" s="82">
        <v>0.69230000000000003</v>
      </c>
      <c r="V11" s="75">
        <v>0.67649999999999999</v>
      </c>
      <c r="W11" s="81">
        <v>0.66</v>
      </c>
      <c r="X11" s="82">
        <v>0.64390000000000003</v>
      </c>
      <c r="Z11" s="75">
        <v>0.69120000000000004</v>
      </c>
      <c r="AA11" s="81">
        <v>0.63</v>
      </c>
      <c r="AB11" s="82">
        <v>0.61760000000000004</v>
      </c>
      <c r="AD11" s="75">
        <v>0.63290000000000002</v>
      </c>
      <c r="AE11" s="81">
        <v>0.62</v>
      </c>
      <c r="AF11" s="82">
        <v>0.61080000000000001</v>
      </c>
      <c r="AH11" s="75">
        <v>0.61319999999999997</v>
      </c>
      <c r="AI11" s="81">
        <v>0.68</v>
      </c>
      <c r="AJ11" s="82">
        <v>0.62390000000000001</v>
      </c>
      <c r="AL11" s="75">
        <v>0.69489999999999996</v>
      </c>
      <c r="AM11" s="81">
        <v>0.67</v>
      </c>
      <c r="AN11" s="82">
        <v>0.66010000000000002</v>
      </c>
      <c r="AP11" s="75">
        <v>0.65669999999999995</v>
      </c>
      <c r="AQ11" s="81">
        <v>0.61</v>
      </c>
      <c r="AR11" s="82">
        <v>0.62239999999999995</v>
      </c>
      <c r="AT11" s="75">
        <v>0.69769999999999999</v>
      </c>
      <c r="AU11" s="81">
        <v>0.68</v>
      </c>
      <c r="AV11" s="82">
        <v>0.66339999999999999</v>
      </c>
      <c r="AX11" s="75">
        <v>0.7036</v>
      </c>
      <c r="AY11" s="81">
        <v>0.67</v>
      </c>
      <c r="AZ11" s="82">
        <v>0.66339999999999999</v>
      </c>
    </row>
    <row r="12" spans="1:52" ht="18" customHeight="1" x14ac:dyDescent="0.3">
      <c r="A12" s="7"/>
      <c r="B12" s="86" t="s">
        <v>1</v>
      </c>
      <c r="C12" s="78">
        <f>D10/D12-1</f>
        <v>1.4714083479901996E-2</v>
      </c>
      <c r="D12" s="29">
        <f>(N12+R12+V12+Z12+AD12+AH12+AL12+AP12+AT12+AX12)/10</f>
        <v>0.69933000000000001</v>
      </c>
      <c r="E12" s="29">
        <f>SQRT(((N12-D12)^2+(R12-D12)^2+(V12-D12)^2+(Z12-D12)^2+(AD12-D12)^2+(AH12-D12)^2+(AL12-D12)^2+(AP12-D12)^2+(AT12-D12)^2+(AX12-D12)^2)/10)</f>
        <v>1.1061017132253253E-2</v>
      </c>
      <c r="F12" s="79">
        <f>E12/D12</f>
        <v>1.5816591783926404E-2</v>
      </c>
      <c r="G12" s="15">
        <f>(O12+S12+W12+AA12+AE12+AI12+AM12+AQ12+AU12+AY12)/10</f>
        <v>0.66100000000000003</v>
      </c>
      <c r="H12" s="25">
        <f>SQRT(((O12-G12)^2+(S12-G12)^2+(W12-G12)^2+(AA12-G12)^2+(AE12-G12)^2+(AI12-G12)^2+(AM12-G12)^2+(AQ12-G12)^2+(AU12-G12)^2+(AY12-G12)^2)/10)</f>
        <v>3.6999999999999991E-2</v>
      </c>
      <c r="I12" s="31">
        <f>H12/G12</f>
        <v>5.5975794251134629E-2</v>
      </c>
      <c r="J12" s="25">
        <f>(P12+T12+X12+AB12+AF12+AJ12+AN12+AR12+AV12+AZ12)/10</f>
        <v>0.65703</v>
      </c>
      <c r="K12" s="25">
        <f>SQRT(((P12-J12)^2+(T12-J12)^2+(X12-J12)^2+(AB12-J12)^2+(AF12-J12)^2+(AJ12-J12)^2+(AN12-J12)^2+(AR12-J12)^2+(AV12-J12)^2+(AZ12-J12)^2)/10)</f>
        <v>2.1986407164427735E-2</v>
      </c>
      <c r="L12" s="31">
        <f>K12/J12</f>
        <v>3.3463323081788857E-2</v>
      </c>
      <c r="N12" s="75">
        <v>0.70779999999999998</v>
      </c>
      <c r="O12" s="25">
        <v>0.65</v>
      </c>
      <c r="P12" s="25">
        <v>0.628</v>
      </c>
      <c r="R12" s="75">
        <v>0.69340000000000002</v>
      </c>
      <c r="S12" s="81">
        <v>0.66</v>
      </c>
      <c r="T12" s="83">
        <v>0.6502</v>
      </c>
      <c r="V12" s="75">
        <v>0.71660000000000001</v>
      </c>
      <c r="W12" s="81">
        <v>0.65</v>
      </c>
      <c r="X12" s="83">
        <v>0.65659999999999996</v>
      </c>
      <c r="Z12" s="75">
        <v>0.67979999999999996</v>
      </c>
      <c r="AA12" s="81">
        <v>0.65</v>
      </c>
      <c r="AB12" s="83">
        <v>0.64680000000000004</v>
      </c>
      <c r="AD12" s="75">
        <v>0.68830000000000002</v>
      </c>
      <c r="AE12" s="81">
        <v>0.72</v>
      </c>
      <c r="AF12" s="83">
        <v>0.69899999999999995</v>
      </c>
      <c r="AH12" s="75">
        <v>0.69269999999999998</v>
      </c>
      <c r="AI12" s="81">
        <v>0.62</v>
      </c>
      <c r="AJ12" s="83">
        <v>0.63270000000000004</v>
      </c>
      <c r="AL12" s="75">
        <v>0.70699999999999996</v>
      </c>
      <c r="AM12" s="81">
        <v>0.59</v>
      </c>
      <c r="AN12" s="83">
        <v>0.63439999999999996</v>
      </c>
      <c r="AP12" s="75">
        <v>0.71309999999999996</v>
      </c>
      <c r="AQ12" s="81">
        <v>0.7</v>
      </c>
      <c r="AR12" s="83">
        <v>0.67630000000000001</v>
      </c>
      <c r="AT12" s="75">
        <v>0.7</v>
      </c>
      <c r="AU12" s="81">
        <v>0.67</v>
      </c>
      <c r="AV12" s="83">
        <v>0.66669999999999996</v>
      </c>
      <c r="AX12" s="75">
        <v>0.6946</v>
      </c>
      <c r="AY12" s="81">
        <v>0.7</v>
      </c>
      <c r="AZ12" s="83">
        <v>0.67959999999999998</v>
      </c>
    </row>
    <row r="13" spans="1:52" ht="18" customHeight="1" x14ac:dyDescent="0.3">
      <c r="A13" s="7"/>
      <c r="B13" s="86" t="s">
        <v>11</v>
      </c>
      <c r="C13" s="78">
        <f>D10/D13-1</f>
        <v>0.33683734599299164</v>
      </c>
      <c r="D13" s="29">
        <f>(N13+R13+V13+Z13+AD13+AH13+AL13+AP13+AT13+AX13)/10</f>
        <v>0.53082000000000007</v>
      </c>
      <c r="E13" s="29">
        <f>SQRT(((N13-D13)^2+(R13-D13)^2+(V13-D13)^2+(Z13-D13)^2+(AD13-D13)^2+(AH13-D13)^2+(AL13-D13)^2+(AP13-D13)^2+(AT13-D13)^2+(AX13-D13)^2)/10)</f>
        <v>1.863806856946287E-2</v>
      </c>
      <c r="F13" s="79">
        <f>E13/D13</f>
        <v>3.5111843128485865E-2</v>
      </c>
      <c r="G13" s="15">
        <f>(O13+S13+W13+AA13+AE13+AI13+AM13+AQ13+AU13+AY13)/10</f>
        <v>0.52800000000000002</v>
      </c>
      <c r="H13" s="25">
        <f>SQRT(((O13-G13)^2+(S13-G13)^2+(W13-G13)^2+(AA13-G13)^2+(AE13-G13)^2+(AI13-G13)^2+(AM13-G13)^2+(AQ13-G13)^2+(AU13-G13)^2+(AY13-G13)^2)/10)</f>
        <v>3.3406586176980148E-2</v>
      </c>
      <c r="I13" s="31">
        <f>H13/G13</f>
        <v>6.327004957761391E-2</v>
      </c>
      <c r="J13" s="25">
        <f>(P13+T13+X13+AB13+AF13+AJ13+AN13+AR13+AV13+AZ13)/10</f>
        <v>0.53459000000000001</v>
      </c>
      <c r="K13" s="25">
        <f>SQRT(((P13-J13)^2+(T13-J13)^2+(X13-J13)^2+(AB13-J13)^2+(AF13-J13)^2+(AJ13-J13)^2+(AN13-J13)^2+(AR13-J13)^2+(AV13-J13)^2+(AZ13-J13)^2)/10)</f>
        <v>2.5728717418480068E-2</v>
      </c>
      <c r="L13" s="31">
        <f>K13/J13</f>
        <v>4.8127943692325086E-2</v>
      </c>
      <c r="N13" s="75">
        <v>0.53569999999999995</v>
      </c>
      <c r="O13" s="81">
        <v>0.49</v>
      </c>
      <c r="P13" s="25">
        <v>0.50780000000000003</v>
      </c>
      <c r="R13" s="75">
        <v>0.49680000000000002</v>
      </c>
      <c r="S13" s="81">
        <v>0.49</v>
      </c>
      <c r="T13" s="83">
        <v>0.4975</v>
      </c>
      <c r="V13" s="75">
        <v>0.53280000000000005</v>
      </c>
      <c r="W13" s="81">
        <v>0.51</v>
      </c>
      <c r="X13" s="83">
        <v>0.52310000000000001</v>
      </c>
      <c r="Z13" s="75">
        <v>0.54910000000000003</v>
      </c>
      <c r="AA13" s="81">
        <v>0.56999999999999995</v>
      </c>
      <c r="AB13" s="83">
        <v>0.56999999999999995</v>
      </c>
      <c r="AD13" s="75">
        <v>0.52290000000000003</v>
      </c>
      <c r="AE13" s="81">
        <v>0.56000000000000005</v>
      </c>
      <c r="AF13" s="83">
        <v>0.56000000000000005</v>
      </c>
      <c r="AH13" s="75">
        <v>0.51829999999999998</v>
      </c>
      <c r="AI13" s="81">
        <v>0.51</v>
      </c>
      <c r="AJ13" s="83">
        <v>0.52039999999999997</v>
      </c>
      <c r="AL13" s="75">
        <v>0.53239999999999998</v>
      </c>
      <c r="AM13" s="81">
        <v>0.56000000000000005</v>
      </c>
      <c r="AN13" s="83">
        <v>0.56000000000000005</v>
      </c>
      <c r="AO13" s="34"/>
      <c r="AP13" s="84">
        <v>0.50990000000000002</v>
      </c>
      <c r="AQ13" s="85">
        <v>0.48</v>
      </c>
      <c r="AR13" s="83">
        <v>0.50260000000000005</v>
      </c>
      <c r="AT13" s="75">
        <v>0.56259999999999999</v>
      </c>
      <c r="AU13" s="81">
        <v>0.56000000000000005</v>
      </c>
      <c r="AV13" s="83">
        <v>0.55169999999999997</v>
      </c>
      <c r="AX13" s="75">
        <v>0.54769999999999996</v>
      </c>
      <c r="AY13" s="81">
        <v>0.55000000000000004</v>
      </c>
      <c r="AZ13" s="83">
        <v>0.55279999999999996</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6.0099837650022137E-2</v>
      </c>
      <c r="D17" s="29">
        <f>(N17+R17+V17+Z17+AD17+AH17+AL17+AP17+AT17+AX17)/10</f>
        <v>0.65907000000000004</v>
      </c>
      <c r="E17" s="29">
        <f>SQRT(((N17-D17)^2+(R17-D17)^2+(V17-D17)^2+(Z17-D17)^2+(AD17-D17)^2+(AH17-D17)^2+(AL17-D17)^2+(AP17-D17)^2+(AT17-D17)^2+(AX17-D17)^2)/10)</f>
        <v>2.799660693727024E-3</v>
      </c>
      <c r="F17" s="79">
        <f>E17/D17</f>
        <v>4.2478958133840465E-3</v>
      </c>
      <c r="G17" s="15">
        <f>(O17+S17+W17+AA17+AE17+AI17+AM17+AQ17+AU17+AY17)/10</f>
        <v>0.59799999999999986</v>
      </c>
      <c r="H17" s="25">
        <f>SQRT(((O17-G17)^2+(S17-G17)^2+(W17-G17)^2+(AA17-G17)^2+(AE17-G17)^2+(AI17-G17)^2+(AM17-G17)^2+(AQ17-G17)^2+(AU17-G17)^2+(AY17-G17)^2)/10)</f>
        <v>6.0000000000000071E-3</v>
      </c>
      <c r="I17" s="31">
        <f>H17/G17</f>
        <v>1.0033444816053526E-2</v>
      </c>
      <c r="J17" s="25">
        <f>(P17+T17+X17+AB17+AF17+AJ17+AN17+AR17+AV17+AZ17)/10</f>
        <v>0.59943999999999997</v>
      </c>
      <c r="K17" s="25">
        <f>SQRT(((P17-J17)^2+(T17-J17)^2+(X17-J17)^2+(AB17-J17)^2+(AF17-J17)^2+(AJ17-J17)^2+(AN17-J17)^2+(AR17-J17)^2+(AV17-J17)^2+(AZ17-J17)^2)/10)</f>
        <v>8.760273968318558E-3</v>
      </c>
      <c r="L17" s="31">
        <f>K17/J17</f>
        <v>1.4614096437205655E-2</v>
      </c>
      <c r="N17" s="75">
        <v>0.65439999999999998</v>
      </c>
      <c r="O17" s="81">
        <v>0.57999999999999996</v>
      </c>
      <c r="P17" s="25">
        <v>0.57340000000000002</v>
      </c>
      <c r="R17" s="75">
        <v>0.66090000000000004</v>
      </c>
      <c r="S17" s="81">
        <v>0.6</v>
      </c>
      <c r="T17" s="25">
        <v>0.60299999999999998</v>
      </c>
      <c r="V17" s="75">
        <v>0.66090000000000004</v>
      </c>
      <c r="W17" s="81">
        <v>0.6</v>
      </c>
      <c r="X17" s="25">
        <v>0.60299999999999998</v>
      </c>
      <c r="Z17" s="75">
        <v>0.66090000000000004</v>
      </c>
      <c r="AA17" s="81">
        <v>0.6</v>
      </c>
      <c r="AB17" s="25">
        <v>0.60299999999999998</v>
      </c>
      <c r="AD17" s="75">
        <v>0.65500000000000003</v>
      </c>
      <c r="AE17" s="81">
        <v>0.6</v>
      </c>
      <c r="AF17" s="25">
        <v>0.6</v>
      </c>
      <c r="AH17" s="75">
        <v>0.65500000000000003</v>
      </c>
      <c r="AI17" s="81">
        <v>0.6</v>
      </c>
      <c r="AJ17" s="25">
        <v>0.6</v>
      </c>
      <c r="AL17" s="75">
        <v>0.66090000000000004</v>
      </c>
      <c r="AM17" s="81">
        <v>0.6</v>
      </c>
      <c r="AN17" s="25">
        <v>0.60299999999999998</v>
      </c>
      <c r="AP17" s="75">
        <v>0.66090000000000004</v>
      </c>
      <c r="AQ17" s="81">
        <v>0.6</v>
      </c>
      <c r="AR17" s="25">
        <v>0.60299999999999998</v>
      </c>
      <c r="AT17" s="75">
        <v>0.66090000000000004</v>
      </c>
      <c r="AU17" s="81">
        <v>0.6</v>
      </c>
      <c r="AV17" s="25">
        <v>0.60299999999999998</v>
      </c>
      <c r="AX17" s="75">
        <v>0.66090000000000004</v>
      </c>
      <c r="AY17" s="81">
        <v>0.6</v>
      </c>
      <c r="AZ17" s="25">
        <v>0.60299999999999998</v>
      </c>
    </row>
    <row r="18" spans="1:52" ht="32.4" customHeight="1" x14ac:dyDescent="0.3">
      <c r="A18"/>
      <c r="B18" s="86" t="s">
        <v>44</v>
      </c>
      <c r="C18" s="80"/>
      <c r="D18" s="29">
        <f>(N18+R18+V18+Z18+AD18+AH18+AL18+AP18+AT18+AX18)/10</f>
        <v>0.69868000000000019</v>
      </c>
      <c r="E18" s="29">
        <f>SQRT(((N18-D18)^2+(R18-D18)^2+(V18-D18)^2+(Z18-D18)^2+(AD18-D18)^2+(AH18-D18)^2+(AL18-D18)^2+(AP18-D18)^2+(AT18-D18)^2+(AX18-D18)^2)/10)</f>
        <v>8.2888841227272483E-3</v>
      </c>
      <c r="F18" s="79">
        <f>E18/D18</f>
        <v>1.1863634457444389E-2</v>
      </c>
      <c r="G18" s="18">
        <f>(O18+S18+W18+AA18+AE18+AI18+AM18+AQ18+AU18+AY18)/10</f>
        <v>0.6100000000000001</v>
      </c>
      <c r="H18" s="64">
        <f>SQRT(((O18-G18)^2+(S18-G18)^2+(W18-G18)^2+(AA18-G18)^2+(AE18-G18)^2+(AI18-G18)^2+(AM18-G18)^2+(AQ18-G18)^2+(AU18-G18)^2+(AY18-G18)^2)/10)</f>
        <v>3.2249030993194205E-2</v>
      </c>
      <c r="I18" s="62">
        <f>H18/G18</f>
        <v>5.2867263923269181E-2</v>
      </c>
      <c r="J18" s="64">
        <f>(P18+T18+X18+AB18+AF18+AJ18+AN18+AR18+AV18+AZ18)/10</f>
        <v>0.61110999999999993</v>
      </c>
      <c r="K18" s="64">
        <f>SQRT(((P18-J18)^2+(T18-J18)^2+(X18-J18)^2+(AB18-J18)^2+(AF18-J18)^2+(AJ18-J18)^2+(AN18-J18)^2+(AR18-J18)^2+(AV18-J18)^2+(AZ18-J18)^2)/10)</f>
        <v>2.0631551080808247E-2</v>
      </c>
      <c r="L18" s="62">
        <f>K18/J18</f>
        <v>3.376078133365229E-2</v>
      </c>
      <c r="N18" s="75">
        <v>0.68840000000000001</v>
      </c>
      <c r="O18" s="81">
        <v>0.56000000000000005</v>
      </c>
      <c r="P18" s="25">
        <v>0.58030000000000004</v>
      </c>
      <c r="R18" s="75">
        <v>0.69810000000000005</v>
      </c>
      <c r="S18" s="81">
        <v>0.62</v>
      </c>
      <c r="T18" s="25">
        <v>0.6139</v>
      </c>
      <c r="V18" s="75">
        <v>0.68810000000000004</v>
      </c>
      <c r="W18" s="81">
        <v>0.57999999999999996</v>
      </c>
      <c r="X18" s="25">
        <v>0.59179999999999999</v>
      </c>
      <c r="Z18" s="75">
        <v>0.68400000000000005</v>
      </c>
      <c r="AA18" s="81">
        <v>0.63</v>
      </c>
      <c r="AB18" s="25">
        <v>0.63</v>
      </c>
      <c r="AD18" s="75">
        <v>0.7016</v>
      </c>
      <c r="AE18" s="81">
        <v>0.57999999999999996</v>
      </c>
      <c r="AF18" s="25">
        <v>0.59450000000000003</v>
      </c>
      <c r="AH18" s="75">
        <v>0.70530000000000004</v>
      </c>
      <c r="AI18" s="81">
        <v>0.64</v>
      </c>
      <c r="AJ18" s="25">
        <v>0.63680000000000003</v>
      </c>
      <c r="AL18" s="75">
        <v>0.70420000000000005</v>
      </c>
      <c r="AM18" s="81">
        <v>0.62</v>
      </c>
      <c r="AN18" s="25">
        <v>0.6139</v>
      </c>
      <c r="AP18" s="75">
        <v>0.70189999999999997</v>
      </c>
      <c r="AQ18" s="81">
        <v>0.62</v>
      </c>
      <c r="AR18" s="25">
        <v>0.6169</v>
      </c>
      <c r="AT18" s="75">
        <v>0.70840000000000003</v>
      </c>
      <c r="AU18" s="81">
        <v>0.67</v>
      </c>
      <c r="AV18" s="25">
        <v>0.64419999999999999</v>
      </c>
      <c r="AX18" s="75">
        <v>0.70679999999999998</v>
      </c>
      <c r="AY18" s="81">
        <v>0.57999999999999996</v>
      </c>
      <c r="AZ18" s="25">
        <v>0.58879999999999999</v>
      </c>
    </row>
    <row r="19" spans="1:52" ht="16.8" x14ac:dyDescent="0.3">
      <c r="A19"/>
      <c r="B19" s="86" t="s">
        <v>5</v>
      </c>
      <c r="C19" s="78">
        <f>D18/D19-1</f>
        <v>3.4728907187181024E-2</v>
      </c>
      <c r="D19" s="29">
        <f>(N19+R19+V19+Z19+AD19+AH19+AL19+AP19+AT19+AX19)/10</f>
        <v>0.67523</v>
      </c>
      <c r="E19" s="29">
        <f>SQRT(((N19-D19)^2+(R19-D19)^2+(V19-D19)^2+(Z19-D19)^2+(AD19-D19)^2+(AH19-D19)^2+(AL19-D19)^2+(AP19-D19)^2+(AT19-D19)^2+(AX19-D19)^2)/10)</f>
        <v>3.366930501213234E-2</v>
      </c>
      <c r="F19" s="79">
        <f>E19/D19</f>
        <v>4.9863461357066985E-2</v>
      </c>
      <c r="G19" s="15">
        <f>(O19+S19+W19+AA19+AE19+AI19+AM19+AQ19+AU19+AY19)/10</f>
        <v>0.66</v>
      </c>
      <c r="H19" s="25">
        <f>SQRT(((O19-G19)^2+(S19-G19)^2+(W19-G19)^2+(AA19-G19)^2+(AE19-G19)^2+(AI19-G19)^2+(AM19-G19)^2+(AQ19-G19)^2+(AU19-G19)^2+(AY19-G19)^2)/10)</f>
        <v>3.0983866769659342E-2</v>
      </c>
      <c r="I19" s="31">
        <f>H19/G19</f>
        <v>4.6945252681302028E-2</v>
      </c>
      <c r="J19" s="25">
        <f>(P19+T19+X19+AB19+AF19+AJ19+AN19+AR19+AV19+AZ19)/10</f>
        <v>0.64449000000000001</v>
      </c>
      <c r="K19" s="25">
        <f>SQRT(((P19-J19)^2+(T19-J19)^2+(X19-J19)^2+(AB19-J19)^2+(AF19-J19)^2+(AJ19-J19)^2+(AN19-J19)^2+(AR19-J19)^2+(AV19-J19)^2+(AZ19-J19)^2)/10)</f>
        <v>2.4539374482655425E-2</v>
      </c>
      <c r="L19" s="31">
        <f>K19/J19</f>
        <v>3.8075648160026419E-2</v>
      </c>
      <c r="N19" s="75">
        <v>0.65549999999999997</v>
      </c>
      <c r="O19" s="25">
        <v>0.66</v>
      </c>
      <c r="P19" s="25">
        <v>0.64710000000000001</v>
      </c>
      <c r="R19" s="75">
        <v>0.73009999999999997</v>
      </c>
      <c r="S19" s="81">
        <v>0.72</v>
      </c>
      <c r="T19" s="82">
        <v>0.69230000000000003</v>
      </c>
      <c r="V19" s="75">
        <v>0.67649999999999999</v>
      </c>
      <c r="W19" s="81">
        <v>0.66</v>
      </c>
      <c r="X19" s="82">
        <v>0.64390000000000003</v>
      </c>
      <c r="Z19" s="75">
        <v>0.69120000000000004</v>
      </c>
      <c r="AA19" s="81">
        <v>0.63</v>
      </c>
      <c r="AB19" s="82">
        <v>0.61760000000000004</v>
      </c>
      <c r="AD19" s="75">
        <v>0.63290000000000002</v>
      </c>
      <c r="AE19" s="81">
        <v>0.62</v>
      </c>
      <c r="AF19" s="82">
        <v>0.61080000000000001</v>
      </c>
      <c r="AH19" s="75">
        <v>0.61319999999999997</v>
      </c>
      <c r="AI19" s="81">
        <v>0.68</v>
      </c>
      <c r="AJ19" s="82">
        <v>0.62390000000000001</v>
      </c>
      <c r="AL19" s="75">
        <v>0.69489999999999996</v>
      </c>
      <c r="AM19" s="81">
        <v>0.67</v>
      </c>
      <c r="AN19" s="82">
        <v>0.66010000000000002</v>
      </c>
      <c r="AP19" s="75">
        <v>0.65669999999999995</v>
      </c>
      <c r="AQ19" s="81">
        <v>0.61</v>
      </c>
      <c r="AR19" s="82">
        <v>0.62239999999999995</v>
      </c>
      <c r="AT19" s="75">
        <v>0.69769999999999999</v>
      </c>
      <c r="AU19" s="81">
        <v>0.68</v>
      </c>
      <c r="AV19" s="82">
        <v>0.66339999999999999</v>
      </c>
      <c r="AX19" s="75">
        <v>0.7036</v>
      </c>
      <c r="AY19" s="81">
        <v>0.67</v>
      </c>
      <c r="AZ19" s="82">
        <v>0.66339999999999999</v>
      </c>
    </row>
    <row r="20" spans="1:52" ht="16.8" x14ac:dyDescent="0.3">
      <c r="A20"/>
      <c r="B20" s="86" t="s">
        <v>1</v>
      </c>
      <c r="C20" s="87">
        <f>D18/D20-1</f>
        <v>-9.2946105558155967E-4</v>
      </c>
      <c r="D20" s="29">
        <f>(N20+R20+V20+Z20+AD20+AH20+AL20+AP20+AT20+AX20)/10</f>
        <v>0.69933000000000001</v>
      </c>
      <c r="E20" s="29">
        <f>SQRT(((N20-D20)^2+(R20-D20)^2+(V20-D20)^2+(Z20-D20)^2+(AD20-D20)^2+(AH20-D20)^2+(AL20-D20)^2+(AP20-D20)^2+(AT20-D20)^2+(AX20-D20)^2)/10)</f>
        <v>1.1061017132253253E-2</v>
      </c>
      <c r="F20" s="79">
        <f>E20/D20</f>
        <v>1.5816591783926404E-2</v>
      </c>
      <c r="G20" s="15">
        <f>(O20+S20+W20+AA20+AE20+AI20+AM20+AQ20+AU20+AY20)/10</f>
        <v>0.66100000000000003</v>
      </c>
      <c r="H20" s="25">
        <f>SQRT(((O20-G20)^2+(S20-G20)^2+(W20-G20)^2+(AA20-G20)^2+(AE20-G20)^2+(AI20-G20)^2+(AM20-G20)^2+(AQ20-G20)^2+(AU20-G20)^2+(AY20-G20)^2)/10)</f>
        <v>3.6999999999999991E-2</v>
      </c>
      <c r="I20" s="31">
        <f>H20/G20</f>
        <v>5.5975794251134629E-2</v>
      </c>
      <c r="J20" s="25">
        <f>(P20+T20+X20+AB20+AF20+AJ20+AN20+AR20+AV20+AZ20)/10</f>
        <v>0.65703</v>
      </c>
      <c r="K20" s="25">
        <f>SQRT(((P20-J20)^2+(T20-J20)^2+(X20-J20)^2+(AB20-J20)^2+(AF20-J20)^2+(AJ20-J20)^2+(AN20-J20)^2+(AR20-J20)^2+(AV20-J20)^2+(AZ20-J20)^2)/10)</f>
        <v>2.1986407164427735E-2</v>
      </c>
      <c r="L20" s="31">
        <f>K20/J20</f>
        <v>3.3463323081788857E-2</v>
      </c>
      <c r="N20" s="75">
        <v>0.70779999999999998</v>
      </c>
      <c r="O20" s="25">
        <v>0.65</v>
      </c>
      <c r="P20" s="25">
        <v>0.628</v>
      </c>
      <c r="R20" s="75">
        <v>0.69340000000000002</v>
      </c>
      <c r="S20" s="81">
        <v>0.66</v>
      </c>
      <c r="T20" s="83">
        <v>0.6502</v>
      </c>
      <c r="V20" s="75">
        <v>0.71660000000000001</v>
      </c>
      <c r="W20" s="81">
        <v>0.65</v>
      </c>
      <c r="X20" s="83">
        <v>0.65659999999999996</v>
      </c>
      <c r="Z20" s="75">
        <v>0.67979999999999996</v>
      </c>
      <c r="AA20" s="81">
        <v>0.65</v>
      </c>
      <c r="AB20" s="83">
        <v>0.64680000000000004</v>
      </c>
      <c r="AD20" s="75">
        <v>0.68830000000000002</v>
      </c>
      <c r="AE20" s="81">
        <v>0.72</v>
      </c>
      <c r="AF20" s="83">
        <v>0.69899999999999995</v>
      </c>
      <c r="AH20" s="75">
        <v>0.69269999999999998</v>
      </c>
      <c r="AI20" s="81">
        <v>0.62</v>
      </c>
      <c r="AJ20" s="83">
        <v>0.63270000000000004</v>
      </c>
      <c r="AL20" s="75">
        <v>0.70699999999999996</v>
      </c>
      <c r="AM20" s="81">
        <v>0.59</v>
      </c>
      <c r="AN20" s="83">
        <v>0.63439999999999996</v>
      </c>
      <c r="AP20" s="75">
        <v>0.71309999999999996</v>
      </c>
      <c r="AQ20" s="81">
        <v>0.7</v>
      </c>
      <c r="AR20" s="83">
        <v>0.67630000000000001</v>
      </c>
      <c r="AT20" s="75">
        <v>0.7</v>
      </c>
      <c r="AU20" s="81">
        <v>0.67</v>
      </c>
      <c r="AV20" s="83">
        <v>0.66669999999999996</v>
      </c>
      <c r="AX20" s="75">
        <v>0.6946</v>
      </c>
      <c r="AY20" s="81">
        <v>0.7</v>
      </c>
      <c r="AZ20" s="83">
        <v>0.67959999999999998</v>
      </c>
    </row>
    <row r="21" spans="1:52" ht="16.8" x14ac:dyDescent="0.3">
      <c r="A21"/>
      <c r="B21" s="86" t="s">
        <v>11</v>
      </c>
      <c r="C21" s="78">
        <f>D18/D21-1</f>
        <v>0.31622772314532255</v>
      </c>
      <c r="D21" s="29">
        <f>(N21+R21+V21+Z21+AD21+AH21+AL21+AP21+AT21+AX21)/10</f>
        <v>0.53082000000000007</v>
      </c>
      <c r="E21" s="29">
        <f>SQRT(((N21-D21)^2+(R21-D21)^2+(V21-D21)^2+(Z21-D21)^2+(AD21-D21)^2+(AH21-D21)^2+(AL21-D21)^2+(AP21-D21)^2+(AT21-D21)^2+(AX21-D21)^2)/10)</f>
        <v>1.863806856946287E-2</v>
      </c>
      <c r="F21" s="79">
        <f>E21/D21</f>
        <v>3.5111843128485865E-2</v>
      </c>
      <c r="G21" s="15">
        <f>(O21+S21+W21+AA21+AE21+AI21+AM21+AQ21+AU21+AY21)/10</f>
        <v>0.52800000000000002</v>
      </c>
      <c r="H21" s="25">
        <f>SQRT(((O21-G21)^2+(S21-G21)^2+(W21-G21)^2+(AA21-G21)^2+(AE21-G21)^2+(AI21-G21)^2+(AM21-G21)^2+(AQ21-G21)^2+(AU21-G21)^2+(AY21-G21)^2)/10)</f>
        <v>3.3406586176980148E-2</v>
      </c>
      <c r="I21" s="31">
        <f>H21/G21</f>
        <v>6.327004957761391E-2</v>
      </c>
      <c r="J21" s="25">
        <f>(P21+T21+X21+AB21+AF21+AJ21+AN21+AR21+AV21+AZ21)/10</f>
        <v>0.53459000000000001</v>
      </c>
      <c r="K21" s="25">
        <f>SQRT(((P21-J21)^2+(T21-J21)^2+(X21-J21)^2+(AB21-J21)^2+(AF21-J21)^2+(AJ21-J21)^2+(AN21-J21)^2+(AR21-J21)^2+(AV21-J21)^2+(AZ21-J21)^2)/10)</f>
        <v>2.5728717418480068E-2</v>
      </c>
      <c r="L21" s="31">
        <f>K21/J21</f>
        <v>4.8127943692325086E-2</v>
      </c>
      <c r="N21" s="75">
        <v>0.53569999999999995</v>
      </c>
      <c r="O21" s="81">
        <v>0.49</v>
      </c>
      <c r="P21" s="25">
        <v>0.50780000000000003</v>
      </c>
      <c r="R21" s="75">
        <v>0.49680000000000002</v>
      </c>
      <c r="S21" s="81">
        <v>0.49</v>
      </c>
      <c r="T21" s="83">
        <v>0.4975</v>
      </c>
      <c r="V21" s="75">
        <v>0.53280000000000005</v>
      </c>
      <c r="W21" s="81">
        <v>0.51</v>
      </c>
      <c r="X21" s="83">
        <v>0.52310000000000001</v>
      </c>
      <c r="Z21" s="75">
        <v>0.54910000000000003</v>
      </c>
      <c r="AA21" s="81">
        <v>0.56999999999999995</v>
      </c>
      <c r="AB21" s="83">
        <v>0.56999999999999995</v>
      </c>
      <c r="AD21" s="75">
        <v>0.52290000000000003</v>
      </c>
      <c r="AE21" s="81">
        <v>0.56000000000000005</v>
      </c>
      <c r="AF21" s="83">
        <v>0.56000000000000005</v>
      </c>
      <c r="AH21" s="75">
        <v>0.51829999999999998</v>
      </c>
      <c r="AI21" s="81">
        <v>0.51</v>
      </c>
      <c r="AJ21" s="83">
        <v>0.52039999999999997</v>
      </c>
      <c r="AL21" s="75">
        <v>0.53239999999999998</v>
      </c>
      <c r="AM21" s="81">
        <v>0.56000000000000005</v>
      </c>
      <c r="AN21" s="83">
        <v>0.56000000000000005</v>
      </c>
      <c r="AO21" s="34"/>
      <c r="AP21" s="84">
        <v>0.50990000000000002</v>
      </c>
      <c r="AQ21" s="85">
        <v>0.48</v>
      </c>
      <c r="AR21" s="83">
        <v>0.50260000000000005</v>
      </c>
      <c r="AT21" s="75">
        <v>0.56259999999999999</v>
      </c>
      <c r="AU21" s="81">
        <v>0.56000000000000005</v>
      </c>
      <c r="AV21" s="83">
        <v>0.55169999999999997</v>
      </c>
      <c r="AX21" s="75">
        <v>0.54769999999999996</v>
      </c>
      <c r="AY21" s="81">
        <v>0.55000000000000004</v>
      </c>
      <c r="AZ21" s="83">
        <v>0.55279999999999996</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6.5668290166446708E-2</v>
      </c>
      <c r="D25" s="29">
        <f>(N25+R25+V25+Z25+AD25+AH25+AL25+AP25+AT25+AX25)/10</f>
        <v>0.65907000000000004</v>
      </c>
      <c r="E25" s="29">
        <f>SQRT(((N25-D25)^2+(R25-D25)^2+(V25-D25)^2+(Z25-D25)^2+(AD25-D25)^2+(AH25-D25)^2+(AL25-D25)^2+(AP25-D25)^2+(AT25-D25)^2+(AX25-D25)^2)/10)</f>
        <v>2.799660693727024E-3</v>
      </c>
      <c r="F25" s="79">
        <f>E25/D25</f>
        <v>4.2478958133840465E-3</v>
      </c>
      <c r="G25" s="15">
        <f>(O25+S25+W25+AA25+AE25+AI25+AM25+AQ25+AU25+AY25)/10</f>
        <v>0.59799999999999986</v>
      </c>
      <c r="H25" s="25">
        <f>SQRT(((O25-G25)^2+(S25-G25)^2+(W25-G25)^2+(AA25-G25)^2+(AE25-G25)^2+(AI25-G25)^2+(AM25-G25)^2+(AQ25-G25)^2+(AU25-G25)^2+(AY25-G25)^2)/10)</f>
        <v>6.0000000000000071E-3</v>
      </c>
      <c r="I25" s="31">
        <f>H25/G25</f>
        <v>1.0033444816053526E-2</v>
      </c>
      <c r="J25" s="25">
        <f>(P25+T25+X25+AB25+AF25+AJ25+AN25+AR25+AV25+AZ25)/10</f>
        <v>0.59943999999999997</v>
      </c>
      <c r="K25" s="25">
        <f>SQRT(((P25-J25)^2+(T25-J25)^2+(X25-J25)^2+(AB25-J25)^2+(AF25-J25)^2+(AJ25-J25)^2+(AN25-J25)^2+(AR25-J25)^2+(AV25-J25)^2+(AZ25-J25)^2)/10)</f>
        <v>8.760273968318558E-3</v>
      </c>
      <c r="L25" s="31">
        <f>K25/J25</f>
        <v>1.4614096437205655E-2</v>
      </c>
      <c r="N25" s="75">
        <v>0.65439999999999998</v>
      </c>
      <c r="O25" s="81">
        <v>0.57999999999999996</v>
      </c>
      <c r="P25" s="25">
        <v>0.57340000000000002</v>
      </c>
      <c r="R25" s="75">
        <v>0.66090000000000004</v>
      </c>
      <c r="S25" s="81">
        <v>0.6</v>
      </c>
      <c r="T25" s="25">
        <v>0.60299999999999998</v>
      </c>
      <c r="V25" s="75">
        <v>0.66090000000000004</v>
      </c>
      <c r="W25" s="81">
        <v>0.6</v>
      </c>
      <c r="X25" s="25">
        <v>0.60299999999999998</v>
      </c>
      <c r="Z25" s="75">
        <v>0.66090000000000004</v>
      </c>
      <c r="AA25" s="81">
        <v>0.6</v>
      </c>
      <c r="AB25" s="25">
        <v>0.60299999999999998</v>
      </c>
      <c r="AD25" s="75">
        <v>0.65500000000000003</v>
      </c>
      <c r="AE25" s="81">
        <v>0.6</v>
      </c>
      <c r="AF25" s="25">
        <v>0.6</v>
      </c>
      <c r="AH25" s="75">
        <v>0.65500000000000003</v>
      </c>
      <c r="AI25" s="81">
        <v>0.6</v>
      </c>
      <c r="AJ25" s="25">
        <v>0.6</v>
      </c>
      <c r="AL25" s="75">
        <v>0.66090000000000004</v>
      </c>
      <c r="AM25" s="81">
        <v>0.6</v>
      </c>
      <c r="AN25" s="25">
        <v>0.60299999999999998</v>
      </c>
      <c r="AP25" s="75">
        <v>0.66090000000000004</v>
      </c>
      <c r="AQ25" s="81">
        <v>0.6</v>
      </c>
      <c r="AR25" s="25">
        <v>0.60299999999999998</v>
      </c>
      <c r="AT25" s="75">
        <v>0.66090000000000004</v>
      </c>
      <c r="AU25" s="81">
        <v>0.6</v>
      </c>
      <c r="AV25" s="25">
        <v>0.60299999999999998</v>
      </c>
      <c r="AX25" s="75">
        <v>0.66090000000000004</v>
      </c>
      <c r="AY25" s="81">
        <v>0.6</v>
      </c>
      <c r="AZ25" s="25">
        <v>0.60299999999999998</v>
      </c>
    </row>
    <row r="26" spans="1:52" ht="33.6" x14ac:dyDescent="0.3">
      <c r="A26"/>
      <c r="B26" s="86" t="s">
        <v>45</v>
      </c>
      <c r="C26" s="80"/>
      <c r="D26" s="29">
        <f>(N26+R26+V26+Z26+AD26+AH26+AL26+AP26+AT26+AX26)/10</f>
        <v>0.70235000000000014</v>
      </c>
      <c r="E26" s="29">
        <f>SQRT(((N26-D26)^2+(R26-D26)^2+(V26-D26)^2+(Z26-D26)^2+(AD26-D26)^2+(AH26-D26)^2+(AL26-D26)^2+(AP26-D26)^2+(AT26-D26)^2+(AX26-D26)^2)/10)</f>
        <v>1.3324957786049448E-2</v>
      </c>
      <c r="F26" s="79">
        <f>E26/D26</f>
        <v>1.8971962392040215E-2</v>
      </c>
      <c r="G26" s="18">
        <f>(O26+S26+W26+AA26+AE26+AI26+AM26+AQ26+AU26+AY26)/10</f>
        <v>0.623</v>
      </c>
      <c r="H26" s="64">
        <f>SQRT(((O26-G26)^2+(S26-G26)^2+(W26-G26)^2+(AA26-G26)^2+(AE26-G26)^2+(AI26-G26)^2+(AM26-G26)^2+(AQ26-G26)^2+(AU26-G26)^2+(AY26-G26)^2)/10)</f>
        <v>2.7586228448267469E-2</v>
      </c>
      <c r="I26" s="62">
        <f>H26/G26</f>
        <v>4.427966043060589E-2</v>
      </c>
      <c r="J26" s="64">
        <f>(P26+T26+X26+AB26+AF26+AJ26+AN26+AR26+AV26+AZ26)/10</f>
        <v>0.62182999999999999</v>
      </c>
      <c r="K26" s="64">
        <f>SQRT(((P26-J26)^2+(T26-J26)^2+(X26-J26)^2+(AB26-J26)^2+(AF26-J26)^2+(AJ26-J26)^2+(AN26-J26)^2+(AR26-J26)^2+(AV26-J26)^2+(AZ26-J26)^2)/10)</f>
        <v>1.8519829912825889E-2</v>
      </c>
      <c r="L26" s="62">
        <f>K26/J26</f>
        <v>2.9782786151883778E-2</v>
      </c>
      <c r="N26" s="75">
        <v>0.69720000000000004</v>
      </c>
      <c r="O26" s="81">
        <v>0.66</v>
      </c>
      <c r="P26" s="25">
        <v>0.64080000000000004</v>
      </c>
      <c r="R26" s="75">
        <v>0.70589999999999997</v>
      </c>
      <c r="S26" s="81">
        <v>0.6</v>
      </c>
      <c r="T26" s="25">
        <v>0.61219999999999997</v>
      </c>
      <c r="V26" s="75">
        <v>0.68049999999999999</v>
      </c>
      <c r="W26" s="81">
        <v>0.68</v>
      </c>
      <c r="X26" s="25">
        <v>0.66020000000000001</v>
      </c>
      <c r="Z26" s="75">
        <v>0.71889999999999998</v>
      </c>
      <c r="AA26" s="81">
        <v>0.63</v>
      </c>
      <c r="AB26" s="25">
        <v>0.63</v>
      </c>
      <c r="AD26" s="75">
        <v>0.69079999999999997</v>
      </c>
      <c r="AE26" s="81">
        <v>0.62</v>
      </c>
      <c r="AF26" s="25">
        <v>0.6169</v>
      </c>
      <c r="AH26" s="75">
        <v>0.71399999999999997</v>
      </c>
      <c r="AI26" s="81">
        <v>0.59</v>
      </c>
      <c r="AJ26" s="25">
        <v>0.60199999999999998</v>
      </c>
      <c r="AL26" s="75">
        <v>0.69269999999999998</v>
      </c>
      <c r="AM26" s="81">
        <v>0.61</v>
      </c>
      <c r="AN26" s="25">
        <v>0.62239999999999995</v>
      </c>
      <c r="AP26" s="75">
        <v>0.72619999999999996</v>
      </c>
      <c r="AQ26" s="81">
        <v>0.62</v>
      </c>
      <c r="AR26" s="25">
        <v>0.62</v>
      </c>
      <c r="AT26" s="75">
        <v>0.69499999999999995</v>
      </c>
      <c r="AU26" s="81">
        <v>0.59</v>
      </c>
      <c r="AV26" s="25">
        <v>0.59</v>
      </c>
      <c r="AX26" s="75">
        <v>0.70230000000000004</v>
      </c>
      <c r="AY26" s="81">
        <v>0.63</v>
      </c>
      <c r="AZ26" s="25">
        <v>0.62380000000000002</v>
      </c>
    </row>
    <row r="27" spans="1:52" ht="16.8" x14ac:dyDescent="0.3">
      <c r="A27"/>
      <c r="B27" s="86" t="s">
        <v>5</v>
      </c>
      <c r="C27" s="78">
        <f>D26/D27-1</f>
        <v>4.0164092235238646E-2</v>
      </c>
      <c r="D27" s="29">
        <f>(N27+R27+V27+Z27+AD27+AH27+AL27+AP27+AT27+AX27)/10</f>
        <v>0.67523</v>
      </c>
      <c r="E27" s="29">
        <f>SQRT(((N27-D27)^2+(R27-D27)^2+(V27-D27)^2+(Z27-D27)^2+(AD27-D27)^2+(AH27-D27)^2+(AL27-D27)^2+(AP27-D27)^2+(AT27-D27)^2+(AX27-D27)^2)/10)</f>
        <v>3.366930501213234E-2</v>
      </c>
      <c r="F27" s="79">
        <f>E27/D27</f>
        <v>4.9863461357066985E-2</v>
      </c>
      <c r="G27" s="15">
        <f>(O27+S27+W27+AA27+AE27+AI27+AM27+AQ27+AU27+AY27)/10</f>
        <v>0.66</v>
      </c>
      <c r="H27" s="25">
        <f>SQRT(((O27-G27)^2+(S27-G27)^2+(W27-G27)^2+(AA27-G27)^2+(AE27-G27)^2+(AI27-G27)^2+(AM27-G27)^2+(AQ27-G27)^2+(AU27-G27)^2+(AY27-G27)^2)/10)</f>
        <v>3.0983866769659342E-2</v>
      </c>
      <c r="I27" s="31">
        <f>H27/G27</f>
        <v>4.6945252681302028E-2</v>
      </c>
      <c r="J27" s="25">
        <f>(P27+T27+X27+AB27+AF27+AJ27+AN27+AR27+AV27+AZ27)/10</f>
        <v>0.64449000000000001</v>
      </c>
      <c r="K27" s="25">
        <f>SQRT(((P27-J27)^2+(T27-J27)^2+(X27-J27)^2+(AB27-J27)^2+(AF27-J27)^2+(AJ27-J27)^2+(AN27-J27)^2+(AR27-J27)^2+(AV27-J27)^2+(AZ27-J27)^2)/10)</f>
        <v>2.4539374482655425E-2</v>
      </c>
      <c r="L27" s="31">
        <f>K27/J27</f>
        <v>3.8075648160026419E-2</v>
      </c>
      <c r="N27" s="75">
        <v>0.65549999999999997</v>
      </c>
      <c r="O27" s="25">
        <v>0.66</v>
      </c>
      <c r="P27" s="25">
        <v>0.64710000000000001</v>
      </c>
      <c r="R27" s="75">
        <v>0.73009999999999997</v>
      </c>
      <c r="S27" s="81">
        <v>0.72</v>
      </c>
      <c r="T27" s="82">
        <v>0.69230000000000003</v>
      </c>
      <c r="V27" s="75">
        <v>0.67649999999999999</v>
      </c>
      <c r="W27" s="81">
        <v>0.66</v>
      </c>
      <c r="X27" s="82">
        <v>0.64390000000000003</v>
      </c>
      <c r="Z27" s="75">
        <v>0.69120000000000004</v>
      </c>
      <c r="AA27" s="81">
        <v>0.63</v>
      </c>
      <c r="AB27" s="82">
        <v>0.61760000000000004</v>
      </c>
      <c r="AD27" s="75">
        <v>0.63290000000000002</v>
      </c>
      <c r="AE27" s="81">
        <v>0.62</v>
      </c>
      <c r="AF27" s="82">
        <v>0.61080000000000001</v>
      </c>
      <c r="AH27" s="75">
        <v>0.61319999999999997</v>
      </c>
      <c r="AI27" s="81">
        <v>0.68</v>
      </c>
      <c r="AJ27" s="82">
        <v>0.62390000000000001</v>
      </c>
      <c r="AL27" s="75">
        <v>0.69489999999999996</v>
      </c>
      <c r="AM27" s="81">
        <v>0.67</v>
      </c>
      <c r="AN27" s="82">
        <v>0.66010000000000002</v>
      </c>
      <c r="AP27" s="75">
        <v>0.65669999999999995</v>
      </c>
      <c r="AQ27" s="81">
        <v>0.61</v>
      </c>
      <c r="AR27" s="82">
        <v>0.62239999999999995</v>
      </c>
      <c r="AT27" s="75">
        <v>0.69769999999999999</v>
      </c>
      <c r="AU27" s="81">
        <v>0.68</v>
      </c>
      <c r="AV27" s="82">
        <v>0.66339999999999999</v>
      </c>
      <c r="AX27" s="75">
        <v>0.7036</v>
      </c>
      <c r="AY27" s="81">
        <v>0.67</v>
      </c>
      <c r="AZ27" s="82">
        <v>0.66339999999999999</v>
      </c>
    </row>
    <row r="28" spans="1:52" ht="16.8" x14ac:dyDescent="0.3">
      <c r="A28" s="3"/>
      <c r="B28" s="86" t="s">
        <v>1</v>
      </c>
      <c r="C28" s="87">
        <f>D26/D28-1</f>
        <v>4.318419058241707E-3</v>
      </c>
      <c r="D28" s="29">
        <f>(N28+R28+V28+Z28+AD28+AH28+AL28+AP28+AT28+AX28)/10</f>
        <v>0.69933000000000001</v>
      </c>
      <c r="E28" s="29">
        <f>SQRT(((N28-D28)^2+(R28-D28)^2+(V28-D28)^2+(Z28-D28)^2+(AD28-D28)^2+(AH28-D28)^2+(AL28-D28)^2+(AP28-D28)^2+(AT28-D28)^2+(AX28-D28)^2)/10)</f>
        <v>1.1061017132253253E-2</v>
      </c>
      <c r="F28" s="79">
        <f>E28/D28</f>
        <v>1.5816591783926404E-2</v>
      </c>
      <c r="G28" s="15">
        <f>(O28+S28+W28+AA28+AE28+AI28+AM28+AQ28+AU28+AY28)/10</f>
        <v>0.66100000000000003</v>
      </c>
      <c r="H28" s="25">
        <f>SQRT(((O28-G28)^2+(S28-G28)^2+(W28-G28)^2+(AA28-G28)^2+(AE28-G28)^2+(AI28-G28)^2+(AM28-G28)^2+(AQ28-G28)^2+(AU28-G28)^2+(AY28-G28)^2)/10)</f>
        <v>3.6999999999999991E-2</v>
      </c>
      <c r="I28" s="31">
        <f>H28/G28</f>
        <v>5.5975794251134629E-2</v>
      </c>
      <c r="J28" s="25">
        <f>(P28+T28+X28+AB28+AF28+AJ28+AN28+AR28+AV28+AZ28)/10</f>
        <v>0.65703</v>
      </c>
      <c r="K28" s="25">
        <f>SQRT(((P28-J28)^2+(T28-J28)^2+(X28-J28)^2+(AB28-J28)^2+(AF28-J28)^2+(AJ28-J28)^2+(AN28-J28)^2+(AR28-J28)^2+(AV28-J28)^2+(AZ28-J28)^2)/10)</f>
        <v>2.1986407164427735E-2</v>
      </c>
      <c r="L28" s="31">
        <f>K28/J28</f>
        <v>3.3463323081788857E-2</v>
      </c>
      <c r="N28" s="75">
        <v>0.70779999999999998</v>
      </c>
      <c r="O28" s="25">
        <v>0.65</v>
      </c>
      <c r="P28" s="25">
        <v>0.628</v>
      </c>
      <c r="R28" s="75">
        <v>0.69340000000000002</v>
      </c>
      <c r="S28" s="81">
        <v>0.66</v>
      </c>
      <c r="T28" s="83">
        <v>0.6502</v>
      </c>
      <c r="V28" s="75">
        <v>0.71660000000000001</v>
      </c>
      <c r="W28" s="81">
        <v>0.65</v>
      </c>
      <c r="X28" s="83">
        <v>0.65659999999999996</v>
      </c>
      <c r="Z28" s="75">
        <v>0.67979999999999996</v>
      </c>
      <c r="AA28" s="81">
        <v>0.65</v>
      </c>
      <c r="AB28" s="83">
        <v>0.64680000000000004</v>
      </c>
      <c r="AD28" s="75">
        <v>0.68830000000000002</v>
      </c>
      <c r="AE28" s="81">
        <v>0.72</v>
      </c>
      <c r="AF28" s="83">
        <v>0.69899999999999995</v>
      </c>
      <c r="AH28" s="75">
        <v>0.69269999999999998</v>
      </c>
      <c r="AI28" s="81">
        <v>0.62</v>
      </c>
      <c r="AJ28" s="83">
        <v>0.63270000000000004</v>
      </c>
      <c r="AL28" s="75">
        <v>0.70699999999999996</v>
      </c>
      <c r="AM28" s="81">
        <v>0.59</v>
      </c>
      <c r="AN28" s="83">
        <v>0.63439999999999996</v>
      </c>
      <c r="AP28" s="75">
        <v>0.71309999999999996</v>
      </c>
      <c r="AQ28" s="81">
        <v>0.7</v>
      </c>
      <c r="AR28" s="83">
        <v>0.67630000000000001</v>
      </c>
      <c r="AT28" s="75">
        <v>0.7</v>
      </c>
      <c r="AU28" s="81">
        <v>0.67</v>
      </c>
      <c r="AV28" s="83">
        <v>0.66669999999999996</v>
      </c>
      <c r="AX28" s="75">
        <v>0.6946</v>
      </c>
      <c r="AY28" s="81">
        <v>0.7</v>
      </c>
      <c r="AZ28" s="83">
        <v>0.67959999999999998</v>
      </c>
    </row>
    <row r="29" spans="1:52" ht="16.8" x14ac:dyDescent="0.3">
      <c r="A29"/>
      <c r="B29" s="86" t="s">
        <v>11</v>
      </c>
      <c r="C29" s="78">
        <f>D26/D29-1</f>
        <v>0.32314155457593929</v>
      </c>
      <c r="D29" s="29">
        <f>(N29+R29+V29+Z29+AD29+AH29+AL29+AP29+AT29+AX29)/10</f>
        <v>0.53082000000000007</v>
      </c>
      <c r="E29" s="29">
        <f>SQRT(((N29-D29)^2+(R29-D29)^2+(V29-D29)^2+(Z29-D29)^2+(AD29-D29)^2+(AH29-D29)^2+(AL29-D29)^2+(AP29-D29)^2+(AT29-D29)^2+(AX29-D29)^2)/10)</f>
        <v>1.863806856946287E-2</v>
      </c>
      <c r="F29" s="79">
        <f>E29/D29</f>
        <v>3.5111843128485865E-2</v>
      </c>
      <c r="G29" s="15">
        <f>(O29+S29+W29+AA29+AE29+AI29+AM29+AQ29+AU29+AY29)/10</f>
        <v>0.52800000000000002</v>
      </c>
      <c r="H29" s="25">
        <f>SQRT(((O29-G29)^2+(S29-G29)^2+(W29-G29)^2+(AA29-G29)^2+(AE29-G29)^2+(AI29-G29)^2+(AM29-G29)^2+(AQ29-G29)^2+(AU29-G29)^2+(AY29-G29)^2)/10)</f>
        <v>3.3406586176980148E-2</v>
      </c>
      <c r="I29" s="31">
        <f>H29/G29</f>
        <v>6.327004957761391E-2</v>
      </c>
      <c r="J29" s="25">
        <f>(P29+T29+X29+AB29+AF29+AJ29+AN29+AR29+AV29+AZ29)/10</f>
        <v>0.53459000000000001</v>
      </c>
      <c r="K29" s="25">
        <f>SQRT(((P29-J29)^2+(T29-J29)^2+(X29-J29)^2+(AB29-J29)^2+(AF29-J29)^2+(AJ29-J29)^2+(AN29-J29)^2+(AR29-J29)^2+(AV29-J29)^2+(AZ29-J29)^2)/10)</f>
        <v>2.5728717418480068E-2</v>
      </c>
      <c r="L29" s="31">
        <f>K29/J29</f>
        <v>4.8127943692325086E-2</v>
      </c>
      <c r="N29" s="75">
        <v>0.53569999999999995</v>
      </c>
      <c r="O29" s="81">
        <v>0.49</v>
      </c>
      <c r="P29" s="25">
        <v>0.50780000000000003</v>
      </c>
      <c r="R29" s="75">
        <v>0.49680000000000002</v>
      </c>
      <c r="S29" s="81">
        <v>0.49</v>
      </c>
      <c r="T29" s="83">
        <v>0.4975</v>
      </c>
      <c r="V29" s="75">
        <v>0.53280000000000005</v>
      </c>
      <c r="W29" s="81">
        <v>0.51</v>
      </c>
      <c r="X29" s="83">
        <v>0.52310000000000001</v>
      </c>
      <c r="Z29" s="75">
        <v>0.54910000000000003</v>
      </c>
      <c r="AA29" s="81">
        <v>0.56999999999999995</v>
      </c>
      <c r="AB29" s="83">
        <v>0.56999999999999995</v>
      </c>
      <c r="AD29" s="75">
        <v>0.52290000000000003</v>
      </c>
      <c r="AE29" s="81">
        <v>0.56000000000000005</v>
      </c>
      <c r="AF29" s="83">
        <v>0.56000000000000005</v>
      </c>
      <c r="AH29" s="75">
        <v>0.51829999999999998</v>
      </c>
      <c r="AI29" s="81">
        <v>0.51</v>
      </c>
      <c r="AJ29" s="83">
        <v>0.52039999999999997</v>
      </c>
      <c r="AL29" s="75">
        <v>0.53239999999999998</v>
      </c>
      <c r="AM29" s="81">
        <v>0.56000000000000005</v>
      </c>
      <c r="AN29" s="83">
        <v>0.56000000000000005</v>
      </c>
      <c r="AO29" s="34"/>
      <c r="AP29" s="84">
        <v>0.50990000000000002</v>
      </c>
      <c r="AQ29" s="85">
        <v>0.48</v>
      </c>
      <c r="AR29" s="83">
        <v>0.50260000000000005</v>
      </c>
      <c r="AT29" s="75">
        <v>0.56259999999999999</v>
      </c>
      <c r="AU29" s="81">
        <v>0.56000000000000005</v>
      </c>
      <c r="AV29" s="83">
        <v>0.55169999999999997</v>
      </c>
      <c r="AX29" s="75">
        <v>0.54769999999999996</v>
      </c>
      <c r="AY29" s="81">
        <v>0.55000000000000004</v>
      </c>
      <c r="AZ29" s="83">
        <v>0.55279999999999996</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7.7108653102098357E-2</v>
      </c>
      <c r="D33" s="29">
        <f>(N33+R33+V33+Z33+AD33+AH33+AL33+AP33+AT33+AX33)/10</f>
        <v>0.65907000000000004</v>
      </c>
      <c r="E33" s="29">
        <f>SQRT(((N33-D33)^2+(R33-D33)^2+(V33-D33)^2+(Z33-D33)^2+(AD33-D33)^2+(AH33-D33)^2+(AL33-D33)^2+(AP33-D33)^2+(AT33-D33)^2+(AX33-D33)^2)/10)</f>
        <v>2.799660693727024E-3</v>
      </c>
      <c r="F33" s="79">
        <f>E33/D33</f>
        <v>4.2478958133840465E-3</v>
      </c>
      <c r="G33" s="15">
        <f>(O33+S33+W33+AA33+AE33+AI33+AM33+AQ33+AU33+AY33)/10</f>
        <v>0.59799999999999986</v>
      </c>
      <c r="H33" s="25">
        <f>SQRT(((O33-G33)^2+(S33-G33)^2+(W33-G33)^2+(AA33-G33)^2+(AE33-G33)^2+(AI33-G33)^2+(AM33-G33)^2+(AQ33-G33)^2+(AU33-G33)^2+(AY33-G33)^2)/10)</f>
        <v>6.0000000000000071E-3</v>
      </c>
      <c r="I33" s="31">
        <f>H33/G33</f>
        <v>1.0033444816053526E-2</v>
      </c>
      <c r="J33" s="25">
        <f>(P33+T33+X33+AB33+AF33+AJ33+AN33+AR33+AV33+AZ33)/10</f>
        <v>0.59943999999999997</v>
      </c>
      <c r="K33" s="25">
        <f>SQRT(((P33-J33)^2+(T33-J33)^2+(X33-J33)^2+(AB33-J33)^2+(AF33-J33)^2+(AJ33-J33)^2+(AN33-J33)^2+(AR33-J33)^2+(AV33-J33)^2+(AZ33-J33)^2)/10)</f>
        <v>8.760273968318558E-3</v>
      </c>
      <c r="L33" s="31">
        <f>K33/J33</f>
        <v>1.4614096437205655E-2</v>
      </c>
      <c r="N33" s="75">
        <v>0.65439999999999998</v>
      </c>
      <c r="O33" s="81">
        <v>0.57999999999999996</v>
      </c>
      <c r="P33" s="25">
        <v>0.57340000000000002</v>
      </c>
      <c r="R33" s="75">
        <v>0.66090000000000004</v>
      </c>
      <c r="S33" s="81">
        <v>0.6</v>
      </c>
      <c r="T33" s="25">
        <v>0.60299999999999998</v>
      </c>
      <c r="V33" s="75">
        <v>0.66090000000000004</v>
      </c>
      <c r="W33" s="81">
        <v>0.6</v>
      </c>
      <c r="X33" s="25">
        <v>0.60299999999999998</v>
      </c>
      <c r="Z33" s="75">
        <v>0.66090000000000004</v>
      </c>
      <c r="AA33" s="81">
        <v>0.6</v>
      </c>
      <c r="AB33" s="25">
        <v>0.60299999999999998</v>
      </c>
      <c r="AD33" s="75">
        <v>0.65500000000000003</v>
      </c>
      <c r="AE33" s="81">
        <v>0.6</v>
      </c>
      <c r="AF33" s="25">
        <v>0.6</v>
      </c>
      <c r="AH33" s="75">
        <v>0.65500000000000003</v>
      </c>
      <c r="AI33" s="81">
        <v>0.6</v>
      </c>
      <c r="AJ33" s="25">
        <v>0.6</v>
      </c>
      <c r="AL33" s="75">
        <v>0.66090000000000004</v>
      </c>
      <c r="AM33" s="81">
        <v>0.6</v>
      </c>
      <c r="AN33" s="25">
        <v>0.60299999999999998</v>
      </c>
      <c r="AP33" s="75">
        <v>0.66090000000000004</v>
      </c>
      <c r="AQ33" s="81">
        <v>0.6</v>
      </c>
      <c r="AR33" s="25">
        <v>0.60299999999999998</v>
      </c>
      <c r="AT33" s="75">
        <v>0.66090000000000004</v>
      </c>
      <c r="AU33" s="81">
        <v>0.6</v>
      </c>
      <c r="AV33" s="25">
        <v>0.60299999999999998</v>
      </c>
      <c r="AX33" s="75">
        <v>0.66090000000000004</v>
      </c>
      <c r="AY33" s="81">
        <v>0.6</v>
      </c>
      <c r="AZ33" s="25">
        <v>0.60299999999999998</v>
      </c>
    </row>
    <row r="34" spans="1:52" ht="33.6" x14ac:dyDescent="0.3">
      <c r="A34" s="3"/>
      <c r="B34" s="86" t="s">
        <v>46</v>
      </c>
      <c r="C34" s="80"/>
      <c r="D34" s="29">
        <f>(N34+R34+V34+Z34+AD34+AH34+AL34+AP34+AT34+AX34)/10</f>
        <v>0.70989000000000002</v>
      </c>
      <c r="E34" s="29">
        <f>SQRT(((N34-D34)^2+(R34-D34)^2+(V34-D34)^2+(Z34-D34)^2+(AD34-D34)^2+(AH34-D34)^2+(AL34-D34)^2+(AP34-D34)^2+(AT34-D34)^2+(AX34-D34)^2)/10)</f>
        <v>1.0584748461819978E-2</v>
      </c>
      <c r="F34" s="79">
        <f>E34/D34</f>
        <v>1.4910406488075586E-2</v>
      </c>
      <c r="G34" s="15">
        <f>(O34+S34+W34+AA34+AE34+AI34+AM34+AQ34+AU34+AY34)/10</f>
        <v>0.621</v>
      </c>
      <c r="H34" s="25">
        <f>SQRT(((O34-G34)^2+(S34-G34)^2+(W34-G34)^2+(AA34-G34)^2+(AE34-G34)^2+(AI34-G34)^2+(AM34-G34)^2+(AQ34-G34)^2+(AU34-G34)^2+(AY34-G34)^2)/10)</f>
        <v>1.9209372712298563E-2</v>
      </c>
      <c r="I34" s="62">
        <f>H34/G34</f>
        <v>3.0932967330593499E-2</v>
      </c>
      <c r="J34" s="25">
        <f>(P34+T34+X34+AB34+AF34+AJ34+AN34+AR34+AV34+AZ34)/10</f>
        <v>0.61618200000000001</v>
      </c>
      <c r="K34" s="25">
        <f>SQRT(((P34-J34)^2+(T34-J34)^2+(X34-J34)^2+(AB34-J34)^2+(AF34-J34)^2+(AJ34-J34)^2+(AN34-J34)^2+(AR34-J34)^2+(AV34-J34)^2+(AZ34-J34)^2)/10)</f>
        <v>1.3448201218006824E-2</v>
      </c>
      <c r="L34" s="62">
        <f>K34/J34</f>
        <v>2.1825047174384882E-2</v>
      </c>
      <c r="N34" s="75">
        <v>0.70389999999999997</v>
      </c>
      <c r="O34" s="81">
        <v>0.64</v>
      </c>
      <c r="P34" s="25">
        <v>0.62749999999999995</v>
      </c>
      <c r="R34" s="75">
        <v>0.70989999999999998</v>
      </c>
      <c r="S34" s="81">
        <v>0.66</v>
      </c>
      <c r="T34" s="25">
        <v>0.64080000000000004</v>
      </c>
      <c r="V34" s="75">
        <v>0.7248</v>
      </c>
      <c r="W34" s="81">
        <v>0.59</v>
      </c>
      <c r="X34" s="25">
        <v>0.60082000000000002</v>
      </c>
      <c r="Z34" s="75">
        <v>0.68859999999999999</v>
      </c>
      <c r="AA34" s="81">
        <v>0.63</v>
      </c>
      <c r="AB34" s="25">
        <v>0.62380000000000002</v>
      </c>
      <c r="AD34" s="75">
        <v>0.71379999999999999</v>
      </c>
      <c r="AE34" s="81">
        <v>0.62</v>
      </c>
      <c r="AF34" s="25">
        <v>0.6169</v>
      </c>
      <c r="AH34" s="75">
        <v>0.71870000000000001</v>
      </c>
      <c r="AI34" s="81">
        <v>0.62</v>
      </c>
      <c r="AJ34" s="25">
        <v>0.61080000000000001</v>
      </c>
      <c r="AL34" s="75">
        <v>0.70979999999999999</v>
      </c>
      <c r="AM34" s="81">
        <v>0.61</v>
      </c>
      <c r="AN34" s="25">
        <v>0.61619999999999997</v>
      </c>
      <c r="AP34" s="75">
        <v>0.70309999999999995</v>
      </c>
      <c r="AQ34" s="81">
        <v>0.6</v>
      </c>
      <c r="AR34" s="25">
        <v>0.59409999999999996</v>
      </c>
      <c r="AT34" s="75">
        <v>0.72430000000000005</v>
      </c>
      <c r="AU34" s="81">
        <v>0.63</v>
      </c>
      <c r="AV34" s="25">
        <v>0.62690000000000001</v>
      </c>
      <c r="AX34" s="75">
        <v>0.70199999999999996</v>
      </c>
      <c r="AY34" s="81">
        <v>0.61</v>
      </c>
      <c r="AZ34" s="25">
        <v>0.60399999999999998</v>
      </c>
    </row>
    <row r="35" spans="1:52" ht="16.8" x14ac:dyDescent="0.3">
      <c r="B35" s="86" t="s">
        <v>5</v>
      </c>
      <c r="C35" s="78">
        <f>D34/D35-1</f>
        <v>5.1330657701820215E-2</v>
      </c>
      <c r="D35" s="29">
        <f>(N35+R35+V35+Z35+AD35+AH35+AL35+AP35+AT35+AX35)/10</f>
        <v>0.67523</v>
      </c>
      <c r="E35" s="29">
        <f>SQRT(((N35-D35)^2+(R35-D35)^2+(V35-D35)^2+(Z35-D35)^2+(AD35-D35)^2+(AH35-D35)^2+(AL35-D35)^2+(AP35-D35)^2+(AT35-D35)^2+(AX35-D35)^2)/10)</f>
        <v>3.366930501213234E-2</v>
      </c>
      <c r="F35" s="79">
        <f>E35/D35</f>
        <v>4.9863461357066985E-2</v>
      </c>
      <c r="G35" s="15">
        <f>(O35+S35+W35+AA35+AE35+AI35+AM35+AQ35+AU35+AY35)/10</f>
        <v>0.66</v>
      </c>
      <c r="H35" s="25">
        <f>SQRT(((O35-G35)^2+(S35-G35)^2+(W35-G35)^2+(AA35-G35)^2+(AE35-G35)^2+(AI35-G35)^2+(AM35-G35)^2+(AQ35-G35)^2+(AU35-G35)^2+(AY35-G35)^2)/10)</f>
        <v>3.0983866769659342E-2</v>
      </c>
      <c r="I35" s="31">
        <f>H35/G35</f>
        <v>4.6945252681302028E-2</v>
      </c>
      <c r="J35" s="25">
        <f>(P35+T35+X35+AB35+AF35+AJ35+AN35+AR35+AV35+AZ35)/10</f>
        <v>0.64449000000000001</v>
      </c>
      <c r="K35" s="25">
        <f>SQRT(((P35-J35)^2+(T35-J35)^2+(X35-J35)^2+(AB35-J35)^2+(AF35-J35)^2+(AJ35-J35)^2+(AN35-J35)^2+(AR35-J35)^2+(AV35-J35)^2+(AZ35-J35)^2)/10)</f>
        <v>2.4539374482655425E-2</v>
      </c>
      <c r="L35" s="31">
        <f>K35/J35</f>
        <v>3.8075648160026419E-2</v>
      </c>
      <c r="N35" s="75">
        <v>0.65549999999999997</v>
      </c>
      <c r="O35" s="25">
        <v>0.66</v>
      </c>
      <c r="P35" s="25">
        <v>0.64710000000000001</v>
      </c>
      <c r="R35" s="75">
        <v>0.73009999999999997</v>
      </c>
      <c r="S35" s="81">
        <v>0.72</v>
      </c>
      <c r="T35" s="82">
        <v>0.69230000000000003</v>
      </c>
      <c r="V35" s="75">
        <v>0.67649999999999999</v>
      </c>
      <c r="W35" s="81">
        <v>0.66</v>
      </c>
      <c r="X35" s="82">
        <v>0.64390000000000003</v>
      </c>
      <c r="Z35" s="75">
        <v>0.69120000000000004</v>
      </c>
      <c r="AA35" s="81">
        <v>0.63</v>
      </c>
      <c r="AB35" s="82">
        <v>0.61760000000000004</v>
      </c>
      <c r="AD35" s="75">
        <v>0.63290000000000002</v>
      </c>
      <c r="AE35" s="81">
        <v>0.62</v>
      </c>
      <c r="AF35" s="82">
        <v>0.61080000000000001</v>
      </c>
      <c r="AH35" s="75">
        <v>0.61319999999999997</v>
      </c>
      <c r="AI35" s="81">
        <v>0.68</v>
      </c>
      <c r="AJ35" s="82">
        <v>0.62390000000000001</v>
      </c>
      <c r="AL35" s="75">
        <v>0.69489999999999996</v>
      </c>
      <c r="AM35" s="81">
        <v>0.67</v>
      </c>
      <c r="AN35" s="82">
        <v>0.66010000000000002</v>
      </c>
      <c r="AP35" s="75">
        <v>0.65669999999999995</v>
      </c>
      <c r="AQ35" s="81">
        <v>0.61</v>
      </c>
      <c r="AR35" s="82">
        <v>0.62239999999999995</v>
      </c>
      <c r="AT35" s="75">
        <v>0.69769999999999999</v>
      </c>
      <c r="AU35" s="81">
        <v>0.68</v>
      </c>
      <c r="AV35" s="82">
        <v>0.66339999999999999</v>
      </c>
      <c r="AX35" s="75">
        <v>0.7036</v>
      </c>
      <c r="AY35" s="81">
        <v>0.67</v>
      </c>
      <c r="AZ35" s="82">
        <v>0.66339999999999999</v>
      </c>
    </row>
    <row r="36" spans="1:52" ht="16.8" x14ac:dyDescent="0.3">
      <c r="B36" s="86" t="s">
        <v>1</v>
      </c>
      <c r="C36" s="87">
        <f>D34/D36-1</f>
        <v>1.510016730299002E-2</v>
      </c>
      <c r="D36" s="29">
        <f>(N36+R36+V36+Z36+AD36+AH36+AL36+AP36+AT36+AX36)/10</f>
        <v>0.69933000000000001</v>
      </c>
      <c r="E36" s="29">
        <f>SQRT(((N36-D36)^2+(R36-D36)^2+(V36-D36)^2+(Z36-D36)^2+(AD36-D36)^2+(AH36-D36)^2+(AL36-D36)^2+(AP36-D36)^2+(AT36-D36)^2+(AX36-D36)^2)/10)</f>
        <v>1.1061017132253253E-2</v>
      </c>
      <c r="F36" s="79">
        <f>E36/D36</f>
        <v>1.5816591783926404E-2</v>
      </c>
      <c r="G36" s="15">
        <f>(O36+S36+W36+AA36+AE36+AI36+AM36+AQ36+AU36+AY36)/10</f>
        <v>0.66100000000000003</v>
      </c>
      <c r="H36" s="25">
        <f>SQRT(((O36-G36)^2+(S36-G36)^2+(W36-G36)^2+(AA36-G36)^2+(AE36-G36)^2+(AI36-G36)^2+(AM36-G36)^2+(AQ36-G36)^2+(AU36-G36)^2+(AY36-G36)^2)/10)</f>
        <v>3.6999999999999991E-2</v>
      </c>
      <c r="I36" s="31">
        <f>H36/G36</f>
        <v>5.5975794251134629E-2</v>
      </c>
      <c r="J36" s="25">
        <f>(P36+T36+X36+AB36+AF36+AJ36+AN36+AR36+AV36+AZ36)/10</f>
        <v>0.65703</v>
      </c>
      <c r="K36" s="25">
        <f>SQRT(((P36-J36)^2+(T36-J36)^2+(X36-J36)^2+(AB36-J36)^2+(AF36-J36)^2+(AJ36-J36)^2+(AN36-J36)^2+(AR36-J36)^2+(AV36-J36)^2+(AZ36-J36)^2)/10)</f>
        <v>2.1986407164427735E-2</v>
      </c>
      <c r="L36" s="31">
        <f>K36/J36</f>
        <v>3.3463323081788857E-2</v>
      </c>
      <c r="N36" s="75">
        <v>0.70779999999999998</v>
      </c>
      <c r="O36" s="25">
        <v>0.65</v>
      </c>
      <c r="P36" s="25">
        <v>0.628</v>
      </c>
      <c r="R36" s="75">
        <v>0.69340000000000002</v>
      </c>
      <c r="S36" s="81">
        <v>0.66</v>
      </c>
      <c r="T36" s="83">
        <v>0.6502</v>
      </c>
      <c r="V36" s="75">
        <v>0.71660000000000001</v>
      </c>
      <c r="W36" s="81">
        <v>0.65</v>
      </c>
      <c r="X36" s="83">
        <v>0.65659999999999996</v>
      </c>
      <c r="Z36" s="75">
        <v>0.67979999999999996</v>
      </c>
      <c r="AA36" s="81">
        <v>0.65</v>
      </c>
      <c r="AB36" s="83">
        <v>0.64680000000000004</v>
      </c>
      <c r="AD36" s="75">
        <v>0.68830000000000002</v>
      </c>
      <c r="AE36" s="81">
        <v>0.72</v>
      </c>
      <c r="AF36" s="83">
        <v>0.69899999999999995</v>
      </c>
      <c r="AH36" s="75">
        <v>0.69269999999999998</v>
      </c>
      <c r="AI36" s="81">
        <v>0.62</v>
      </c>
      <c r="AJ36" s="83">
        <v>0.63270000000000004</v>
      </c>
      <c r="AL36" s="75">
        <v>0.70699999999999996</v>
      </c>
      <c r="AM36" s="81">
        <v>0.59</v>
      </c>
      <c r="AN36" s="83">
        <v>0.63439999999999996</v>
      </c>
      <c r="AP36" s="75">
        <v>0.71309999999999996</v>
      </c>
      <c r="AQ36" s="81">
        <v>0.7</v>
      </c>
      <c r="AR36" s="83">
        <v>0.67630000000000001</v>
      </c>
      <c r="AT36" s="75">
        <v>0.7</v>
      </c>
      <c r="AU36" s="81">
        <v>0.67</v>
      </c>
      <c r="AV36" s="83">
        <v>0.66669999999999996</v>
      </c>
      <c r="AX36" s="75">
        <v>0.6946</v>
      </c>
      <c r="AY36" s="81">
        <v>0.7</v>
      </c>
      <c r="AZ36" s="83">
        <v>0.67959999999999998</v>
      </c>
    </row>
    <row r="37" spans="1:52" ht="16.8" x14ac:dyDescent="0.3">
      <c r="B37" s="86" t="s">
        <v>11</v>
      </c>
      <c r="C37" s="78">
        <f>D34/D37-1</f>
        <v>0.33734599299197465</v>
      </c>
      <c r="D37" s="29">
        <f>(N37+R37+V37+Z37+AD37+AH37+AL37+AP37+AT37+AX37)/10</f>
        <v>0.53082000000000007</v>
      </c>
      <c r="E37" s="29">
        <f>SQRT(((N37-D37)^2+(R37-D37)^2+(V37-D37)^2+(Z37-D37)^2+(AD37-D37)^2+(AH37-D37)^2+(AL37-D37)^2+(AP37-D37)^2+(AT37-D37)^2+(AX37-D37)^2)/10)</f>
        <v>1.863806856946287E-2</v>
      </c>
      <c r="F37" s="79">
        <f>E37/D37</f>
        <v>3.5111843128485865E-2</v>
      </c>
      <c r="G37" s="15">
        <f>(O37+S37+W37+AA37+AE37+AI37+AM37+AQ37+AU37+AY37)/10</f>
        <v>0.52800000000000002</v>
      </c>
      <c r="H37" s="25">
        <f>SQRT(((O37-G37)^2+(S37-G37)^2+(W37-G37)^2+(AA37-G37)^2+(AE37-G37)^2+(AI37-G37)^2+(AM37-G37)^2+(AQ37-G37)^2+(AU37-G37)^2+(AY37-G37)^2)/10)</f>
        <v>3.3406586176980148E-2</v>
      </c>
      <c r="I37" s="31">
        <f>H37/G37</f>
        <v>6.327004957761391E-2</v>
      </c>
      <c r="J37" s="25">
        <f>(P37+T37+X37+AB37+AF37+AJ37+AN37+AR37+AV37+AZ37)/10</f>
        <v>0.53459000000000001</v>
      </c>
      <c r="K37" s="25">
        <f>SQRT(((P37-J37)^2+(T37-J37)^2+(X37-J37)^2+(AB37-J37)^2+(AF37-J37)^2+(AJ37-J37)^2+(AN37-J37)^2+(AR37-J37)^2+(AV37-J37)^2+(AZ37-J37)^2)/10)</f>
        <v>2.5728717418480068E-2</v>
      </c>
      <c r="L37" s="31">
        <f>K37/J37</f>
        <v>4.8127943692325086E-2</v>
      </c>
      <c r="N37" s="75">
        <v>0.53569999999999995</v>
      </c>
      <c r="O37" s="81">
        <v>0.49</v>
      </c>
      <c r="P37" s="25">
        <v>0.50780000000000003</v>
      </c>
      <c r="R37" s="75">
        <v>0.49680000000000002</v>
      </c>
      <c r="S37" s="81">
        <v>0.49</v>
      </c>
      <c r="T37" s="83">
        <v>0.4975</v>
      </c>
      <c r="V37" s="75">
        <v>0.53280000000000005</v>
      </c>
      <c r="W37" s="81">
        <v>0.51</v>
      </c>
      <c r="X37" s="83">
        <v>0.52310000000000001</v>
      </c>
      <c r="Z37" s="75">
        <v>0.54910000000000003</v>
      </c>
      <c r="AA37" s="81">
        <v>0.56999999999999995</v>
      </c>
      <c r="AB37" s="83">
        <v>0.56999999999999995</v>
      </c>
      <c r="AD37" s="75">
        <v>0.52290000000000003</v>
      </c>
      <c r="AE37" s="81">
        <v>0.56000000000000005</v>
      </c>
      <c r="AF37" s="83">
        <v>0.56000000000000005</v>
      </c>
      <c r="AH37" s="75">
        <v>0.51829999999999998</v>
      </c>
      <c r="AI37" s="81">
        <v>0.51</v>
      </c>
      <c r="AJ37" s="83">
        <v>0.52039999999999997</v>
      </c>
      <c r="AL37" s="75">
        <v>0.53239999999999998</v>
      </c>
      <c r="AM37" s="81">
        <v>0.56000000000000005</v>
      </c>
      <c r="AN37" s="83">
        <v>0.56000000000000005</v>
      </c>
      <c r="AO37" s="34"/>
      <c r="AP37" s="84">
        <v>0.50990000000000002</v>
      </c>
      <c r="AQ37" s="85">
        <v>0.48</v>
      </c>
      <c r="AR37" s="83">
        <v>0.50260000000000005</v>
      </c>
      <c r="AT37" s="75">
        <v>0.56259999999999999</v>
      </c>
      <c r="AU37" s="81">
        <v>0.56000000000000005</v>
      </c>
      <c r="AV37" s="83">
        <v>0.55169999999999997</v>
      </c>
      <c r="AX37" s="75">
        <v>0.54769999999999996</v>
      </c>
      <c r="AY37" s="81">
        <v>0.55000000000000004</v>
      </c>
      <c r="AZ37" s="83">
        <v>0.55279999999999996</v>
      </c>
    </row>
  </sheetData>
  <mergeCells count="110">
    <mergeCell ref="C7:C8"/>
    <mergeCell ref="D7:F7"/>
    <mergeCell ref="G7:I7"/>
    <mergeCell ref="J7:L7"/>
    <mergeCell ref="N7:N8"/>
    <mergeCell ref="O7:P7"/>
    <mergeCell ref="B2:AZ2"/>
    <mergeCell ref="B3:AZ3"/>
    <mergeCell ref="N5:AZ5"/>
    <mergeCell ref="G6:K6"/>
    <mergeCell ref="N6:P6"/>
    <mergeCell ref="R6:T6"/>
    <mergeCell ref="V6:X6"/>
    <mergeCell ref="Z6:AB6"/>
    <mergeCell ref="AD6:AF6"/>
    <mergeCell ref="AH6:AJ6"/>
    <mergeCell ref="R7:R8"/>
    <mergeCell ref="S7:T7"/>
    <mergeCell ref="V7:V8"/>
    <mergeCell ref="W7:X7"/>
    <mergeCell ref="Z7:Z8"/>
    <mergeCell ref="AA7:AB7"/>
    <mergeCell ref="AL6:AN6"/>
    <mergeCell ref="AP6:AR6"/>
    <mergeCell ref="AT6:AV6"/>
    <mergeCell ref="AP7:AP8"/>
    <mergeCell ref="AQ7:AR7"/>
    <mergeCell ref="AT7:AT8"/>
    <mergeCell ref="AU7:AV7"/>
    <mergeCell ref="AX7:AX8"/>
    <mergeCell ref="AY7:AZ7"/>
    <mergeCell ref="AD7:AD8"/>
    <mergeCell ref="AE7:AF7"/>
    <mergeCell ref="AH7:AH8"/>
    <mergeCell ref="AI7:AJ7"/>
    <mergeCell ref="AL7:AL8"/>
    <mergeCell ref="AM7:AN7"/>
    <mergeCell ref="AX6:AZ6"/>
    <mergeCell ref="R15:R16"/>
    <mergeCell ref="S15:T15"/>
    <mergeCell ref="V15:V16"/>
    <mergeCell ref="W15:X15"/>
    <mergeCell ref="Z15:Z16"/>
    <mergeCell ref="AA15:AB15"/>
    <mergeCell ref="C15:C16"/>
    <mergeCell ref="D15:F15"/>
    <mergeCell ref="G15:I15"/>
    <mergeCell ref="J15:L15"/>
    <mergeCell ref="N15:N16"/>
    <mergeCell ref="O15:P15"/>
    <mergeCell ref="AP15:AP16"/>
    <mergeCell ref="AQ15:AR15"/>
    <mergeCell ref="AT15:AT16"/>
    <mergeCell ref="AU15:AV15"/>
    <mergeCell ref="AX15:AX16"/>
    <mergeCell ref="AY15:AZ15"/>
    <mergeCell ref="AD15:AD16"/>
    <mergeCell ref="AE15:AF15"/>
    <mergeCell ref="AH15:AH16"/>
    <mergeCell ref="AI15:AJ15"/>
    <mergeCell ref="AL15:AL16"/>
    <mergeCell ref="AM15:AN15"/>
    <mergeCell ref="R23:R24"/>
    <mergeCell ref="S23:T23"/>
    <mergeCell ref="V23:V24"/>
    <mergeCell ref="W23:X23"/>
    <mergeCell ref="Z23:Z24"/>
    <mergeCell ref="AA23:AB23"/>
    <mergeCell ref="C23:C24"/>
    <mergeCell ref="D23:F23"/>
    <mergeCell ref="G23:I23"/>
    <mergeCell ref="J23:L23"/>
    <mergeCell ref="N23:N24"/>
    <mergeCell ref="O23:P23"/>
    <mergeCell ref="AP23:AP24"/>
    <mergeCell ref="AQ23:AR23"/>
    <mergeCell ref="AT23:AT24"/>
    <mergeCell ref="AU23:AV23"/>
    <mergeCell ref="AX23:AX24"/>
    <mergeCell ref="AY23:AZ23"/>
    <mergeCell ref="AD23:AD24"/>
    <mergeCell ref="AE23:AF23"/>
    <mergeCell ref="AH23:AH24"/>
    <mergeCell ref="AI23:AJ23"/>
    <mergeCell ref="AL23:AL24"/>
    <mergeCell ref="AM23:AN23"/>
    <mergeCell ref="R31:R32"/>
    <mergeCell ref="S31:T31"/>
    <mergeCell ref="V31:V32"/>
    <mergeCell ref="W31:X31"/>
    <mergeCell ref="Z31:Z32"/>
    <mergeCell ref="AA31:AB31"/>
    <mergeCell ref="C31:C32"/>
    <mergeCell ref="D31:F31"/>
    <mergeCell ref="G31:I31"/>
    <mergeCell ref="J31:L31"/>
    <mergeCell ref="N31:N32"/>
    <mergeCell ref="O31:P31"/>
    <mergeCell ref="AP31:AP32"/>
    <mergeCell ref="AQ31:AR31"/>
    <mergeCell ref="AT31:AT32"/>
    <mergeCell ref="AU31:AV31"/>
    <mergeCell ref="AX31:AX32"/>
    <mergeCell ref="AY31:AZ31"/>
    <mergeCell ref="AD31:AD32"/>
    <mergeCell ref="AE31:AF31"/>
    <mergeCell ref="AH31:AH32"/>
    <mergeCell ref="AI31:AJ31"/>
    <mergeCell ref="AL31:AL32"/>
    <mergeCell ref="AM31:AN31"/>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7F8DC-4BC5-4A32-96BF-1FB429EB03BE}">
  <dimension ref="A1:AZ37"/>
  <sheetViews>
    <sheetView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101.4" customHeight="1" x14ac:dyDescent="0.3">
      <c r="B2" s="164" t="s">
        <v>67</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36" customHeight="1" x14ac:dyDescent="0.3">
      <c r="B3" s="164" t="s">
        <v>76</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0.48080000000000001</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2.752746067138645E-2</v>
      </c>
      <c r="D9" s="29">
        <f>(N9+R9+V9+Z9+AD9+AH9+AL9+AP9+AT9+AX9)/10</f>
        <v>0.97320999999999991</v>
      </c>
      <c r="E9" s="29">
        <f>SQRT(((N9-D9)^2+(R9-D9)^2+(V9-D9)^2+(Z9-D9)^2+(AD9-D9)^2+(AH9-D9)^2+(AL9-D9)^2+(AP9-D9)^2+(AT9-D9)^2+(AX9-D9)^2)/10)</f>
        <v>2.762046342840766E-3</v>
      </c>
      <c r="F9" s="79">
        <f>E9/D9</f>
        <v>2.8380784649158623E-3</v>
      </c>
      <c r="G9" s="15">
        <f>(O9+S9+W9+AA9+AE9+AI9+AM9+AQ9+AU9+AY9)/10</f>
        <v>0.91799999999999993</v>
      </c>
      <c r="H9" s="25">
        <f>SQRT(((O9-G9)^2+(S9-G9)^2+(W9-G9)^2+(AA9-G9)^2+(AE9-G9)^2+(AI9-G9)^2+(AM9-G9)^2+(AQ9-G9)^2+(AU9-G9)^2+(AY9-G9)^2)/10)</f>
        <v>8.7177978870813556E-3</v>
      </c>
      <c r="I9" s="31">
        <f>H9/G9</f>
        <v>9.4965118595657476E-3</v>
      </c>
      <c r="J9" s="25">
        <f>(P9+T9+X9+AB9+AF9+AJ9+AN9+AR9+AV9+AZ9)/10</f>
        <v>0.94058000000000008</v>
      </c>
      <c r="K9" s="25">
        <f>SQRT(((P9-J9)^2+(T9-J9)^2+(X9-J9)^2+(AB9-J9)^2+(AF9-J9)^2+(AJ9-J9)^2+(AN9-J9)^2+(AR9-J9)^2+(AV9-J9)^2+(AZ9-J9)^2)/10)</f>
        <v>4.5369152515778739E-3</v>
      </c>
      <c r="L9" s="31">
        <f>K9/J9</f>
        <v>4.8235293665375338E-3</v>
      </c>
      <c r="N9" s="75">
        <v>0.97489999999999999</v>
      </c>
      <c r="O9" s="81">
        <v>0.91</v>
      </c>
      <c r="P9" s="25">
        <v>0.93810000000000004</v>
      </c>
      <c r="R9" s="75">
        <v>0.97660000000000002</v>
      </c>
      <c r="S9" s="81">
        <v>0.91</v>
      </c>
      <c r="T9" s="25">
        <v>0.94299999999999995</v>
      </c>
      <c r="V9" s="75">
        <v>0.96750000000000003</v>
      </c>
      <c r="W9" s="81">
        <v>0.92</v>
      </c>
      <c r="X9" s="25">
        <v>0.92930000000000001</v>
      </c>
      <c r="Z9" s="75">
        <v>0.97660000000000002</v>
      </c>
      <c r="AA9" s="81">
        <v>0.91</v>
      </c>
      <c r="AB9" s="25">
        <v>0.94299999999999995</v>
      </c>
      <c r="AD9" s="75">
        <v>0.97119999999999995</v>
      </c>
      <c r="AE9" s="81">
        <v>0.93</v>
      </c>
      <c r="AF9" s="25">
        <v>0.94420000000000004</v>
      </c>
      <c r="AH9" s="75">
        <v>0.97489999999999999</v>
      </c>
      <c r="AI9" s="81">
        <v>0.91</v>
      </c>
      <c r="AJ9" s="25">
        <v>0.93810000000000004</v>
      </c>
      <c r="AL9" s="75">
        <v>0.97119999999999995</v>
      </c>
      <c r="AM9" s="81">
        <v>0.93</v>
      </c>
      <c r="AN9" s="25">
        <v>0.94420000000000004</v>
      </c>
      <c r="AP9" s="75">
        <v>0.97119999999999995</v>
      </c>
      <c r="AQ9" s="81">
        <v>0.93</v>
      </c>
      <c r="AR9" s="25">
        <v>0.94420000000000004</v>
      </c>
      <c r="AT9" s="75">
        <v>0.97309999999999997</v>
      </c>
      <c r="AU9" s="81">
        <v>0.92</v>
      </c>
      <c r="AV9" s="25">
        <v>0.94359999999999999</v>
      </c>
      <c r="AX9" s="75">
        <v>0.97489999999999999</v>
      </c>
      <c r="AY9" s="81">
        <v>0.91</v>
      </c>
      <c r="AZ9" s="25">
        <v>0.93810000000000004</v>
      </c>
    </row>
    <row r="10" spans="1:52" ht="37.799999999999997" customHeight="1" x14ac:dyDescent="0.3">
      <c r="A10" s="7"/>
      <c r="B10" s="86" t="s">
        <v>17</v>
      </c>
      <c r="C10" s="80"/>
      <c r="D10" s="29">
        <f>(N10+R10+V10+Z10+AD10+AH10+AL10+AP10+AT10+AX10)/10</f>
        <v>1</v>
      </c>
      <c r="E10" s="29">
        <f>SQRT(((N10-D10)^2+(R10-D10)^2+(V10-D10)^2+(Z10-D10)^2+(AD10-D10)^2+(AH10-D10)^2+(AL10-D10)^2+(AP10-D10)^2+(AT10-D10)^2+(AX10-D10)^2)/10)</f>
        <v>0</v>
      </c>
      <c r="F10" s="79">
        <f>E10/D10</f>
        <v>0</v>
      </c>
      <c r="G10" s="15">
        <f>(O10+S10+W10+AA10+AE10+AI10+AM10+AQ10+AU10+AY10)/10</f>
        <v>1</v>
      </c>
      <c r="H10" s="25">
        <f>SQRT(((O10-G10)^2+(S10-G10)^2+(W10-G10)^2+(AA10-G10)^2+(AE10-G10)^2+(AI10-G10)^2+(AM10-G10)^2+(AQ10-G10)^2+(AU10-G10)^2+(AY10-G10)^2)/10)</f>
        <v>0</v>
      </c>
      <c r="I10" s="62">
        <f>H10/G10</f>
        <v>0</v>
      </c>
      <c r="J10" s="25">
        <f>(P10+T10+X10+AB10+AF10+AJ10+AN10+AR10+AV10+AZ10)/10</f>
        <v>1</v>
      </c>
      <c r="K10" s="25">
        <f>SQRT(((P10-J10)^2+(T10-J10)^2+(X10-J10)^2+(AB10-J10)^2+(AF10-J10)^2+(AJ10-J10)^2+(AN10-J10)^2+(AR10-J10)^2+(AV10-J10)^2+(AZ10-J10)^2)/10)</f>
        <v>0</v>
      </c>
      <c r="L10" s="62">
        <f>K10/J10</f>
        <v>0</v>
      </c>
      <c r="N10" s="75">
        <v>1</v>
      </c>
      <c r="O10" s="25">
        <v>1</v>
      </c>
      <c r="P10" s="25">
        <v>1</v>
      </c>
      <c r="R10" s="75">
        <v>1</v>
      </c>
      <c r="S10" s="81">
        <v>1</v>
      </c>
      <c r="T10" s="25">
        <v>1</v>
      </c>
      <c r="V10" s="75">
        <v>1</v>
      </c>
      <c r="W10" s="81">
        <v>1</v>
      </c>
      <c r="X10" s="25">
        <v>1</v>
      </c>
      <c r="Z10" s="75">
        <v>1</v>
      </c>
      <c r="AA10" s="81">
        <v>1</v>
      </c>
      <c r="AB10" s="25">
        <v>1</v>
      </c>
      <c r="AD10" s="75">
        <v>1</v>
      </c>
      <c r="AE10" s="81">
        <v>1</v>
      </c>
      <c r="AF10" s="25">
        <v>1</v>
      </c>
      <c r="AH10" s="75">
        <v>1</v>
      </c>
      <c r="AI10" s="81">
        <v>1</v>
      </c>
      <c r="AJ10" s="25">
        <v>1</v>
      </c>
      <c r="AL10" s="75">
        <v>1</v>
      </c>
      <c r="AM10" s="81">
        <v>1</v>
      </c>
      <c r="AN10" s="25">
        <v>1</v>
      </c>
      <c r="AP10" s="75">
        <v>1</v>
      </c>
      <c r="AQ10" s="81">
        <v>1</v>
      </c>
      <c r="AR10" s="25">
        <v>1</v>
      </c>
      <c r="AT10" s="75">
        <v>1</v>
      </c>
      <c r="AU10" s="81">
        <v>1</v>
      </c>
      <c r="AV10" s="25">
        <v>1</v>
      </c>
      <c r="AX10" s="75">
        <v>1</v>
      </c>
      <c r="AY10" s="81">
        <v>1</v>
      </c>
      <c r="AZ10" s="25">
        <v>1</v>
      </c>
    </row>
    <row r="11" spans="1:52" ht="18" customHeight="1" x14ac:dyDescent="0.3">
      <c r="A11" s="7"/>
      <c r="B11" s="86" t="s">
        <v>5</v>
      </c>
      <c r="C11" s="78">
        <f>D10/D11-1</f>
        <v>2.3053021950485419E-3</v>
      </c>
      <c r="D11" s="29">
        <f>(N11+R11+V11+Z11+AD11+AH11+AL11+AP11+AT11+AX11)/10</f>
        <v>0.99770000000000003</v>
      </c>
      <c r="E11" s="29">
        <f>SQRT(((N11-D11)^2+(R11-D11)^2+(V11-D11)^2+(Z11-D11)^2+(AD11-D11)^2+(AH11-D11)^2+(AL11-D11)^2+(AP11-D11)^2+(AT11-D11)^2+(AX11-D11)^2)/10)</f>
        <v>1.1506519890914027E-3</v>
      </c>
      <c r="F11" s="79">
        <f>E11/D11</f>
        <v>1.153304589647592E-3</v>
      </c>
      <c r="G11" s="15">
        <f>(O11+S11+W11+AA11+AE11+AI11+AM11+AQ11+AU11+AY11)/10</f>
        <v>0.95699999999999985</v>
      </c>
      <c r="H11" s="25">
        <f>SQRT(((O11-G11)^2+(S11-G11)^2+(W11-G11)^2+(AA11-G11)^2+(AE11-G11)^2+(AI11-G11)^2+(AM11-G11)^2+(AQ11-G11)^2+(AU11-G11)^2+(AY11-G11)^2)/10)</f>
        <v>1.3453624047073722E-2</v>
      </c>
      <c r="I11" s="31">
        <f>H11/G11</f>
        <v>1.4058123351174215E-2</v>
      </c>
      <c r="J11" s="25">
        <f>(P11+T11+X11+AB11+AF11+AJ11+AN11+AR11+AV11+AZ11)/10</f>
        <v>0.97155999999999987</v>
      </c>
      <c r="K11" s="25">
        <f>SQRT(((P11-J11)^2+(T11-J11)^2+(X11-J11)^2+(AB11-J11)^2+(AF11-J11)^2+(AJ11-J11)^2+(AN11-J11)^2+(AR11-J11)^2+(AV11-J11)^2+(AZ11-J11)^2)/10)</f>
        <v>4.7628142940912685E-3</v>
      </c>
      <c r="L11" s="31">
        <f>K11/J11</f>
        <v>4.9022338240471705E-3</v>
      </c>
      <c r="N11" s="75">
        <v>0.99829999999999997</v>
      </c>
      <c r="O11" s="25">
        <v>0.98</v>
      </c>
      <c r="P11" s="25">
        <v>0.97509999999999997</v>
      </c>
      <c r="R11" s="75">
        <v>0.99790000000000001</v>
      </c>
      <c r="S11" s="81">
        <v>0.94</v>
      </c>
      <c r="T11" s="82">
        <v>0.96909999999999996</v>
      </c>
      <c r="V11" s="75">
        <v>0.99839999999999995</v>
      </c>
      <c r="W11" s="81">
        <v>0.94</v>
      </c>
      <c r="X11" s="82">
        <v>0.96409999999999996</v>
      </c>
      <c r="Z11" s="75">
        <v>0.99829999999999997</v>
      </c>
      <c r="AA11" s="81">
        <v>0.96</v>
      </c>
      <c r="AB11" s="82">
        <v>0.97960000000000003</v>
      </c>
      <c r="AD11" s="75">
        <v>0.99770000000000003</v>
      </c>
      <c r="AE11" s="81">
        <v>0.95</v>
      </c>
      <c r="AF11" s="82">
        <v>0.96940000000000004</v>
      </c>
      <c r="AH11" s="75">
        <v>0.99790000000000001</v>
      </c>
      <c r="AI11" s="81">
        <v>0.97</v>
      </c>
      <c r="AJ11" s="82">
        <v>0.97489999999999999</v>
      </c>
      <c r="AL11" s="75">
        <v>0.99880000000000002</v>
      </c>
      <c r="AM11" s="81">
        <v>0.96</v>
      </c>
      <c r="AN11" s="82">
        <v>0.97460000000000002</v>
      </c>
      <c r="AP11" s="75">
        <v>0.99480000000000002</v>
      </c>
      <c r="AQ11" s="81">
        <v>0.94</v>
      </c>
      <c r="AR11" s="82">
        <v>0.96909999999999996</v>
      </c>
      <c r="AT11" s="75">
        <v>0.99639999999999995</v>
      </c>
      <c r="AU11" s="81">
        <v>0.96</v>
      </c>
      <c r="AV11" s="82">
        <v>0.96479999999999999</v>
      </c>
      <c r="AX11" s="75">
        <v>0.99850000000000005</v>
      </c>
      <c r="AY11" s="81">
        <v>0.97</v>
      </c>
      <c r="AZ11" s="82">
        <v>0.97489999999999999</v>
      </c>
    </row>
    <row r="12" spans="1:52" ht="18" customHeight="1" x14ac:dyDescent="0.3">
      <c r="A12" s="7"/>
      <c r="B12" s="86" t="s">
        <v>1</v>
      </c>
      <c r="C12" s="78">
        <f>D10/D12-1</f>
        <v>1.3718794748807106E-3</v>
      </c>
      <c r="D12" s="29">
        <f>(N12+R12+V12+Z12+AD12+AH12+AL12+AP12+AT12+AX12)/10</f>
        <v>0.9986299999999998</v>
      </c>
      <c r="E12" s="29">
        <f>SQRT(((N12-D12)^2+(R12-D12)^2+(V12-D12)^2+(Z12-D12)^2+(AD12-D12)^2+(AH12-D12)^2+(AL12-D12)^2+(AP12-D12)^2+(AT12-D12)^2+(AX12-D12)^2)/10)</f>
        <v>1.8401358645491243E-3</v>
      </c>
      <c r="F12" s="79">
        <f>E12/D12</f>
        <v>1.8426603091726912E-3</v>
      </c>
      <c r="G12" s="15">
        <f>(O12+S12+W12+AA12+AE12+AI12+AM12+AQ12+AU12+AY12)/10</f>
        <v>0.94600000000000006</v>
      </c>
      <c r="H12" s="25">
        <f>SQRT(((O12-G12)^2+(S12-G12)^2+(W12-G12)^2+(AA12-G12)^2+(AE12-G12)^2+(AI12-G12)^2+(AM12-G12)^2+(AQ12-G12)^2+(AU12-G12)^2+(AY12-G12)^2)/10)</f>
        <v>2.8354893757515636E-2</v>
      </c>
      <c r="I12" s="31">
        <f>H12/G12</f>
        <v>2.9973460631623292E-2</v>
      </c>
      <c r="J12" s="25">
        <f>(P12+T12+X12+AB12+AF12+AJ12+AN12+AR12+AV12+AZ12)/10</f>
        <v>0.97204999999999997</v>
      </c>
      <c r="K12" s="25">
        <f>SQRT(((P12-J12)^2+(T12-J12)^2+(X12-J12)^2+(AB12-J12)^2+(AF12-J12)^2+(AJ12-J12)^2+(AN12-J12)^2+(AR12-J12)^2+(AV12-J12)^2+(AZ12-J12)^2)/10)</f>
        <v>1.5176840909754581E-2</v>
      </c>
      <c r="L12" s="31">
        <f>K12/J12</f>
        <v>1.5613230708044424E-2</v>
      </c>
      <c r="N12" s="75">
        <v>0.99880000000000002</v>
      </c>
      <c r="O12" s="25">
        <v>0.97</v>
      </c>
      <c r="P12" s="25">
        <v>0.98480000000000001</v>
      </c>
      <c r="R12" s="75">
        <v>1</v>
      </c>
      <c r="S12" s="81">
        <v>0.97</v>
      </c>
      <c r="T12" s="83">
        <v>0.98480000000000001</v>
      </c>
      <c r="V12" s="75">
        <v>0.99929999999999997</v>
      </c>
      <c r="W12" s="81">
        <v>0.94</v>
      </c>
      <c r="X12" s="83">
        <v>0.96909999999999996</v>
      </c>
      <c r="Z12" s="75">
        <v>0.99750000000000005</v>
      </c>
      <c r="AA12" s="81">
        <v>0.95</v>
      </c>
      <c r="AB12" s="83">
        <v>0.97440000000000004</v>
      </c>
      <c r="AD12" s="75">
        <v>1</v>
      </c>
      <c r="AE12" s="81">
        <v>0.98</v>
      </c>
      <c r="AF12" s="83">
        <v>0.9899</v>
      </c>
      <c r="AH12" s="75">
        <v>0.99860000000000004</v>
      </c>
      <c r="AI12" s="81">
        <v>0.89</v>
      </c>
      <c r="AJ12" s="83">
        <v>0.94179999999999997</v>
      </c>
      <c r="AL12" s="75">
        <v>0.99970000000000003</v>
      </c>
      <c r="AM12" s="81">
        <v>0.96</v>
      </c>
      <c r="AN12" s="83">
        <v>0.97960000000000003</v>
      </c>
      <c r="AP12" s="75">
        <v>0.99360000000000004</v>
      </c>
      <c r="AQ12" s="81">
        <v>0.9</v>
      </c>
      <c r="AR12" s="83">
        <v>0.94740000000000002</v>
      </c>
      <c r="AT12" s="75">
        <v>0.99880000000000002</v>
      </c>
      <c r="AU12" s="81">
        <v>0.94</v>
      </c>
      <c r="AV12" s="83">
        <v>0.96909999999999996</v>
      </c>
      <c r="AX12" s="75">
        <v>1</v>
      </c>
      <c r="AY12" s="81">
        <v>0.96</v>
      </c>
      <c r="AZ12" s="83">
        <v>0.97960000000000003</v>
      </c>
    </row>
    <row r="13" spans="1:52" ht="18" customHeight="1" x14ac:dyDescent="0.3">
      <c r="A13" s="7"/>
      <c r="B13" s="86" t="s">
        <v>11</v>
      </c>
      <c r="C13" s="78">
        <f>D10/D13-1</f>
        <v>1.0190191604918328</v>
      </c>
      <c r="D13" s="29">
        <f>(N13+R13+V13+Z13+AD13+AH13+AL13+AP13+AT13+AX13)/10</f>
        <v>0.49529000000000006</v>
      </c>
      <c r="E13" s="29">
        <f>SQRT(((N13-D13)^2+(R13-D13)^2+(V13-D13)^2+(Z13-D13)^2+(AD13-D13)^2+(AH13-D13)^2+(AL13-D13)^2+(AP13-D13)^2+(AT13-D13)^2+(AX13-D13)^2)/10)</f>
        <v>6.9659664799652882E-2</v>
      </c>
      <c r="F13" s="79">
        <f>E13/D13</f>
        <v>0.14064419794393765</v>
      </c>
      <c r="G13" s="15">
        <f>(O13+S13+W13+AA13+AE13+AI13+AM13+AQ13+AU13+AY13)/10</f>
        <v>0.51700000000000013</v>
      </c>
      <c r="H13" s="25">
        <f>SQRT(((O13-G13)^2+(S13-G13)^2+(W13-G13)^2+(AA13-G13)^2+(AE13-G13)^2+(AI13-G13)^2+(AM13-G13)^2+(AQ13-G13)^2+(AU13-G13)^2+(AY13-G13)^2)/10)</f>
        <v>4.4056781543821401E-2</v>
      </c>
      <c r="I13" s="31">
        <f>H13/G13</f>
        <v>8.5216211883600373E-2</v>
      </c>
      <c r="J13" s="25">
        <f>(P13+T13+X13+AB13+AF13+AJ13+AN13+AR13+AV13+AZ13)/10</f>
        <v>0.47686000000000001</v>
      </c>
      <c r="K13" s="25">
        <f>SQRT(((P13-J13)^2+(T13-J13)^2+(X13-J13)^2+(AB13-J13)^2+(AF13-J13)^2+(AJ13-J13)^2+(AN13-J13)^2+(AR13-J13)^2+(AV13-J13)^2+(AZ13-J13)^2)/10)</f>
        <v>3.2867071667551997E-2</v>
      </c>
      <c r="L13" s="31">
        <f>K13/J13</f>
        <v>6.8923943437386226E-2</v>
      </c>
      <c r="N13" s="75">
        <v>0.46239999999999998</v>
      </c>
      <c r="O13" s="81">
        <v>0.55000000000000004</v>
      </c>
      <c r="P13" s="25">
        <v>0.4955</v>
      </c>
      <c r="R13" s="75">
        <v>0.6069</v>
      </c>
      <c r="S13" s="81">
        <v>0.5</v>
      </c>
      <c r="T13" s="83">
        <v>0.49080000000000001</v>
      </c>
      <c r="V13" s="75">
        <v>0.63319999999999999</v>
      </c>
      <c r="W13" s="81">
        <v>0.42</v>
      </c>
      <c r="X13" s="83">
        <v>0.4</v>
      </c>
      <c r="Z13" s="75">
        <v>0.46829999999999999</v>
      </c>
      <c r="AA13" s="81">
        <v>0.56000000000000005</v>
      </c>
      <c r="AB13" s="83">
        <v>0.49559999999999998</v>
      </c>
      <c r="AD13" s="75">
        <v>0.52900000000000003</v>
      </c>
      <c r="AE13" s="81">
        <v>0.56000000000000005</v>
      </c>
      <c r="AF13" s="83">
        <v>0.49340000000000001</v>
      </c>
      <c r="AH13" s="75">
        <v>0.46450000000000002</v>
      </c>
      <c r="AI13" s="81">
        <v>0.52</v>
      </c>
      <c r="AJ13" s="83">
        <v>0.48599999999999999</v>
      </c>
      <c r="AL13" s="75">
        <v>0.42849999999999999</v>
      </c>
      <c r="AM13" s="81">
        <v>0.55000000000000004</v>
      </c>
      <c r="AN13" s="83">
        <v>0.50929999999999997</v>
      </c>
      <c r="AO13" s="34"/>
      <c r="AP13" s="84">
        <v>0.49509999999999998</v>
      </c>
      <c r="AQ13" s="85">
        <v>0.48</v>
      </c>
      <c r="AR13" s="83">
        <v>0.45929999999999999</v>
      </c>
      <c r="AT13" s="75">
        <v>0.41239999999999999</v>
      </c>
      <c r="AU13" s="81">
        <v>0.48</v>
      </c>
      <c r="AV13" s="83">
        <v>0.43640000000000001</v>
      </c>
      <c r="AX13" s="75">
        <v>0.4526</v>
      </c>
      <c r="AY13" s="81">
        <v>0.55000000000000004</v>
      </c>
      <c r="AZ13" s="83">
        <v>0.50229999999999997</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2.752746067138645E-2</v>
      </c>
      <c r="D17" s="29">
        <f>(N17+R17+V17+Z17+AD17+AH17+AL17+AP17+AT17+AX17)/10</f>
        <v>0.97320999999999991</v>
      </c>
      <c r="E17" s="29">
        <f>SQRT(((N17-D17)^2+(R17-D17)^2+(V17-D17)^2+(Z17-D17)^2+(AD17-D17)^2+(AH17-D17)^2+(AL17-D17)^2+(AP17-D17)^2+(AT17-D17)^2+(AX17-D17)^2)/10)</f>
        <v>2.762046342840766E-3</v>
      </c>
      <c r="F17" s="79">
        <f>E17/D17</f>
        <v>2.8380784649158623E-3</v>
      </c>
      <c r="G17" s="15">
        <f>(O17+S17+W17+AA17+AE17+AI17+AM17+AQ17+AU17+AY17)/10</f>
        <v>0.91799999999999993</v>
      </c>
      <c r="H17" s="25">
        <f>SQRT(((O17-G17)^2+(S17-G17)^2+(W17-G17)^2+(AA17-G17)^2+(AE17-G17)^2+(AI17-G17)^2+(AM17-G17)^2+(AQ17-G17)^2+(AU17-G17)^2+(AY17-G17)^2)/10)</f>
        <v>8.7177978870813556E-3</v>
      </c>
      <c r="I17" s="31">
        <f>H17/G17</f>
        <v>9.4965118595657476E-3</v>
      </c>
      <c r="J17" s="25">
        <f>(P17+T17+X17+AB17+AF17+AJ17+AN17+AR17+AV17+AZ17)/10</f>
        <v>0.94058000000000008</v>
      </c>
      <c r="K17" s="25">
        <f>SQRT(((P17-J17)^2+(T17-J17)^2+(X17-J17)^2+(AB17-J17)^2+(AF17-J17)^2+(AJ17-J17)^2+(AN17-J17)^2+(AR17-J17)^2+(AV17-J17)^2+(AZ17-J17)^2)/10)</f>
        <v>4.5369152515778739E-3</v>
      </c>
      <c r="L17" s="31">
        <f>K17/J17</f>
        <v>4.8235293665375338E-3</v>
      </c>
      <c r="N17" s="75">
        <v>0.97489999999999999</v>
      </c>
      <c r="O17" s="81">
        <v>0.91</v>
      </c>
      <c r="P17" s="25">
        <v>0.93810000000000004</v>
      </c>
      <c r="R17" s="75">
        <v>0.97660000000000002</v>
      </c>
      <c r="S17" s="81">
        <v>0.91</v>
      </c>
      <c r="T17" s="25">
        <v>0.94299999999999995</v>
      </c>
      <c r="V17" s="75">
        <v>0.96750000000000003</v>
      </c>
      <c r="W17" s="81">
        <v>0.92</v>
      </c>
      <c r="X17" s="25">
        <v>0.92930000000000001</v>
      </c>
      <c r="Z17" s="75">
        <v>0.97660000000000002</v>
      </c>
      <c r="AA17" s="81">
        <v>0.91</v>
      </c>
      <c r="AB17" s="25">
        <v>0.94299999999999995</v>
      </c>
      <c r="AD17" s="75">
        <v>0.97119999999999995</v>
      </c>
      <c r="AE17" s="81">
        <v>0.93</v>
      </c>
      <c r="AF17" s="25">
        <v>0.94420000000000004</v>
      </c>
      <c r="AH17" s="75">
        <v>0.97489999999999999</v>
      </c>
      <c r="AI17" s="81">
        <v>0.91</v>
      </c>
      <c r="AJ17" s="25">
        <v>0.93810000000000004</v>
      </c>
      <c r="AL17" s="75">
        <v>0.97119999999999995</v>
      </c>
      <c r="AM17" s="81">
        <v>0.93</v>
      </c>
      <c r="AN17" s="25">
        <v>0.94420000000000004</v>
      </c>
      <c r="AP17" s="75">
        <v>0.97119999999999995</v>
      </c>
      <c r="AQ17" s="81">
        <v>0.93</v>
      </c>
      <c r="AR17" s="25">
        <v>0.94420000000000004</v>
      </c>
      <c r="AT17" s="75">
        <v>0.97309999999999997</v>
      </c>
      <c r="AU17" s="81">
        <v>0.92</v>
      </c>
      <c r="AV17" s="25">
        <v>0.94359999999999999</v>
      </c>
      <c r="AX17" s="75">
        <v>0.97489999999999999</v>
      </c>
      <c r="AY17" s="81">
        <v>0.91</v>
      </c>
      <c r="AZ17" s="25">
        <v>0.93810000000000004</v>
      </c>
    </row>
    <row r="18" spans="1:52" ht="32.4" customHeight="1" x14ac:dyDescent="0.3">
      <c r="A18"/>
      <c r="B18" s="86" t="s">
        <v>44</v>
      </c>
      <c r="C18" s="80"/>
      <c r="D18" s="29">
        <f>(N18+R18+V18+Z18+AD18+AH18+AL18+AP18+AT18+AX18)/10</f>
        <v>1</v>
      </c>
      <c r="E18" s="29">
        <f>SQRT(((N18-D18)^2+(R18-D18)^2+(V18-D18)^2+(Z18-D18)^2+(AD18-D18)^2+(AH18-D18)^2+(AL18-D18)^2+(AP18-D18)^2+(AT18-D18)^2+(AX18-D18)^2)/10)</f>
        <v>0</v>
      </c>
      <c r="F18" s="79">
        <f>E18/D18</f>
        <v>0</v>
      </c>
      <c r="G18" s="18">
        <f>(O18+S18+W18+AA18+AE18+AI18+AM18+AQ18+AU18+AY18)/10</f>
        <v>1</v>
      </c>
      <c r="H18" s="64">
        <f>SQRT(((O18-G18)^2+(S18-G18)^2+(W18-G18)^2+(AA18-G18)^2+(AE18-G18)^2+(AI18-G18)^2+(AM18-G18)^2+(AQ18-G18)^2+(AU18-G18)^2+(AY18-G18)^2)/10)</f>
        <v>0</v>
      </c>
      <c r="I18" s="62">
        <f>H18/G18</f>
        <v>0</v>
      </c>
      <c r="J18" s="64">
        <f>(P18+T18+X18+AB18+AF18+AJ18+AN18+AR18+AV18+AZ18)/10</f>
        <v>1</v>
      </c>
      <c r="K18" s="64">
        <f>SQRT(((P18-J18)^2+(T18-J18)^2+(X18-J18)^2+(AB18-J18)^2+(AF18-J18)^2+(AJ18-J18)^2+(AN18-J18)^2+(AR18-J18)^2+(AV18-J18)^2+(AZ18-J18)^2)/10)</f>
        <v>0</v>
      </c>
      <c r="L18" s="62">
        <f>K18/J18</f>
        <v>0</v>
      </c>
      <c r="N18" s="75">
        <v>1</v>
      </c>
      <c r="O18" s="81">
        <v>1</v>
      </c>
      <c r="P18" s="25">
        <v>1</v>
      </c>
      <c r="R18" s="75">
        <v>1</v>
      </c>
      <c r="S18" s="81">
        <v>1</v>
      </c>
      <c r="T18" s="25">
        <v>1</v>
      </c>
      <c r="V18" s="75">
        <v>1</v>
      </c>
      <c r="W18" s="81">
        <v>1</v>
      </c>
      <c r="X18" s="25">
        <v>1</v>
      </c>
      <c r="Z18" s="75">
        <v>1</v>
      </c>
      <c r="AA18" s="81">
        <v>1</v>
      </c>
      <c r="AB18" s="25">
        <v>1</v>
      </c>
      <c r="AD18" s="75">
        <v>1</v>
      </c>
      <c r="AE18" s="81">
        <v>1</v>
      </c>
      <c r="AF18" s="25">
        <v>1</v>
      </c>
      <c r="AH18" s="75">
        <v>1</v>
      </c>
      <c r="AI18" s="81">
        <v>1</v>
      </c>
      <c r="AJ18" s="25">
        <v>1</v>
      </c>
      <c r="AL18" s="75">
        <v>1</v>
      </c>
      <c r="AM18" s="81">
        <v>1</v>
      </c>
      <c r="AN18" s="25">
        <v>1</v>
      </c>
      <c r="AP18" s="75">
        <v>1</v>
      </c>
      <c r="AQ18" s="81">
        <v>1</v>
      </c>
      <c r="AR18" s="25">
        <v>1</v>
      </c>
      <c r="AT18" s="75">
        <v>1</v>
      </c>
      <c r="AU18" s="81">
        <v>1</v>
      </c>
      <c r="AV18" s="25">
        <v>1</v>
      </c>
      <c r="AX18" s="75">
        <v>1</v>
      </c>
      <c r="AY18" s="81">
        <v>1</v>
      </c>
      <c r="AZ18" s="25">
        <v>1</v>
      </c>
    </row>
    <row r="19" spans="1:52" ht="16.8" x14ac:dyDescent="0.3">
      <c r="A19"/>
      <c r="B19" s="86" t="s">
        <v>5</v>
      </c>
      <c r="C19" s="78">
        <f>D18/D19-1</f>
        <v>2.3053021950485419E-3</v>
      </c>
      <c r="D19" s="29">
        <f>(N19+R19+V19+Z19+AD19+AH19+AL19+AP19+AT19+AX19)/10</f>
        <v>0.99770000000000003</v>
      </c>
      <c r="E19" s="29">
        <f>SQRT(((N19-D19)^2+(R19-D19)^2+(V19-D19)^2+(Z19-D19)^2+(AD19-D19)^2+(AH19-D19)^2+(AL19-D19)^2+(AP19-D19)^2+(AT19-D19)^2+(AX19-D19)^2)/10)</f>
        <v>1.1506519890914027E-3</v>
      </c>
      <c r="F19" s="79">
        <f>E19/D19</f>
        <v>1.153304589647592E-3</v>
      </c>
      <c r="G19" s="15">
        <f>(O19+S19+W19+AA19+AE19+AI19+AM19+AQ19+AU19+AY19)/10</f>
        <v>0.95699999999999985</v>
      </c>
      <c r="H19" s="25">
        <f>SQRT(((O19-G19)^2+(S19-G19)^2+(W19-G19)^2+(AA19-G19)^2+(AE19-G19)^2+(AI19-G19)^2+(AM19-G19)^2+(AQ19-G19)^2+(AU19-G19)^2+(AY19-G19)^2)/10)</f>
        <v>1.3453624047073722E-2</v>
      </c>
      <c r="I19" s="31">
        <f>H19/G19</f>
        <v>1.4058123351174215E-2</v>
      </c>
      <c r="J19" s="25">
        <f>(P19+T19+X19+AB19+AF19+AJ19+AN19+AR19+AV19+AZ19)/10</f>
        <v>0.97155999999999987</v>
      </c>
      <c r="K19" s="25">
        <f>SQRT(((P19-J19)^2+(T19-J19)^2+(X19-J19)^2+(AB19-J19)^2+(AF19-J19)^2+(AJ19-J19)^2+(AN19-J19)^2+(AR19-J19)^2+(AV19-J19)^2+(AZ19-J19)^2)/10)</f>
        <v>4.7628142940912685E-3</v>
      </c>
      <c r="L19" s="31">
        <f>K19/J19</f>
        <v>4.9022338240471705E-3</v>
      </c>
      <c r="N19" s="75">
        <v>0.99829999999999997</v>
      </c>
      <c r="O19" s="25">
        <v>0.98</v>
      </c>
      <c r="P19" s="25">
        <v>0.97509999999999997</v>
      </c>
      <c r="R19" s="75">
        <v>0.99790000000000001</v>
      </c>
      <c r="S19" s="81">
        <v>0.94</v>
      </c>
      <c r="T19" s="82">
        <v>0.96909999999999996</v>
      </c>
      <c r="V19" s="75">
        <v>0.99839999999999995</v>
      </c>
      <c r="W19" s="81">
        <v>0.94</v>
      </c>
      <c r="X19" s="82">
        <v>0.96409999999999996</v>
      </c>
      <c r="Z19" s="75">
        <v>0.99829999999999997</v>
      </c>
      <c r="AA19" s="81">
        <v>0.96</v>
      </c>
      <c r="AB19" s="82">
        <v>0.97960000000000003</v>
      </c>
      <c r="AD19" s="75">
        <v>0.99770000000000003</v>
      </c>
      <c r="AE19" s="81">
        <v>0.95</v>
      </c>
      <c r="AF19" s="82">
        <v>0.96940000000000004</v>
      </c>
      <c r="AH19" s="75">
        <v>0.99790000000000001</v>
      </c>
      <c r="AI19" s="81">
        <v>0.97</v>
      </c>
      <c r="AJ19" s="82">
        <v>0.97489999999999999</v>
      </c>
      <c r="AL19" s="75">
        <v>0.99880000000000002</v>
      </c>
      <c r="AM19" s="81">
        <v>0.96</v>
      </c>
      <c r="AN19" s="82">
        <v>0.97460000000000002</v>
      </c>
      <c r="AP19" s="75">
        <v>0.99480000000000002</v>
      </c>
      <c r="AQ19" s="81">
        <v>0.94</v>
      </c>
      <c r="AR19" s="82">
        <v>0.96909999999999996</v>
      </c>
      <c r="AT19" s="75">
        <v>0.99639999999999995</v>
      </c>
      <c r="AU19" s="81">
        <v>0.96</v>
      </c>
      <c r="AV19" s="82">
        <v>0.96479999999999999</v>
      </c>
      <c r="AX19" s="75">
        <v>0.99850000000000005</v>
      </c>
      <c r="AY19" s="81">
        <v>0.97</v>
      </c>
      <c r="AZ19" s="82">
        <v>0.97489999999999999</v>
      </c>
    </row>
    <row r="20" spans="1:52" ht="16.8" x14ac:dyDescent="0.3">
      <c r="A20"/>
      <c r="B20" s="86" t="s">
        <v>1</v>
      </c>
      <c r="C20" s="87">
        <f>D18/D20-1</f>
        <v>1.3718794748807106E-3</v>
      </c>
      <c r="D20" s="29">
        <f>(N20+R20+V20+Z20+AD20+AH20+AL20+AP20+AT20+AX20)/10</f>
        <v>0.9986299999999998</v>
      </c>
      <c r="E20" s="29">
        <f>SQRT(((N20-D20)^2+(R20-D20)^2+(V20-D20)^2+(Z20-D20)^2+(AD20-D20)^2+(AH20-D20)^2+(AL20-D20)^2+(AP20-D20)^2+(AT20-D20)^2+(AX20-D20)^2)/10)</f>
        <v>1.8401358645491243E-3</v>
      </c>
      <c r="F20" s="79">
        <f>E20/D20</f>
        <v>1.8426603091726912E-3</v>
      </c>
      <c r="G20" s="15">
        <f>(O20+S20+W20+AA20+AE20+AI20+AM20+AQ20+AU20+AY20)/10</f>
        <v>0.94600000000000006</v>
      </c>
      <c r="H20" s="25">
        <f>SQRT(((O20-G20)^2+(S20-G20)^2+(W20-G20)^2+(AA20-G20)^2+(AE20-G20)^2+(AI20-G20)^2+(AM20-G20)^2+(AQ20-G20)^2+(AU20-G20)^2+(AY20-G20)^2)/10)</f>
        <v>2.8354893757515636E-2</v>
      </c>
      <c r="I20" s="31">
        <f>H20/G20</f>
        <v>2.9973460631623292E-2</v>
      </c>
      <c r="J20" s="25">
        <f>(P20+T20+X20+AB20+AF20+AJ20+AN20+AR20+AV20+AZ20)/10</f>
        <v>0.97204999999999997</v>
      </c>
      <c r="K20" s="25">
        <f>SQRT(((P20-J20)^2+(T20-J20)^2+(X20-J20)^2+(AB20-J20)^2+(AF20-J20)^2+(AJ20-J20)^2+(AN20-J20)^2+(AR20-J20)^2+(AV20-J20)^2+(AZ20-J20)^2)/10)</f>
        <v>1.5176840909754581E-2</v>
      </c>
      <c r="L20" s="31">
        <f>K20/J20</f>
        <v>1.5613230708044424E-2</v>
      </c>
      <c r="N20" s="75">
        <v>0.99880000000000002</v>
      </c>
      <c r="O20" s="25">
        <v>0.97</v>
      </c>
      <c r="P20" s="25">
        <v>0.98480000000000001</v>
      </c>
      <c r="R20" s="75">
        <v>1</v>
      </c>
      <c r="S20" s="81">
        <v>0.97</v>
      </c>
      <c r="T20" s="83">
        <v>0.98480000000000001</v>
      </c>
      <c r="V20" s="75">
        <v>0.99929999999999997</v>
      </c>
      <c r="W20" s="81">
        <v>0.94</v>
      </c>
      <c r="X20" s="83">
        <v>0.96909999999999996</v>
      </c>
      <c r="Z20" s="75">
        <v>0.99750000000000005</v>
      </c>
      <c r="AA20" s="81">
        <v>0.95</v>
      </c>
      <c r="AB20" s="83">
        <v>0.97440000000000004</v>
      </c>
      <c r="AD20" s="75">
        <v>1</v>
      </c>
      <c r="AE20" s="81">
        <v>0.98</v>
      </c>
      <c r="AF20" s="83">
        <v>0.9899</v>
      </c>
      <c r="AH20" s="75">
        <v>0.99860000000000004</v>
      </c>
      <c r="AI20" s="81">
        <v>0.89</v>
      </c>
      <c r="AJ20" s="83">
        <v>0.94179999999999997</v>
      </c>
      <c r="AL20" s="75">
        <v>0.99970000000000003</v>
      </c>
      <c r="AM20" s="81">
        <v>0.96</v>
      </c>
      <c r="AN20" s="83">
        <v>0.97960000000000003</v>
      </c>
      <c r="AP20" s="75">
        <v>0.99360000000000004</v>
      </c>
      <c r="AQ20" s="81">
        <v>0.9</v>
      </c>
      <c r="AR20" s="83">
        <v>0.94740000000000002</v>
      </c>
      <c r="AT20" s="75">
        <v>0.99880000000000002</v>
      </c>
      <c r="AU20" s="81">
        <v>0.94</v>
      </c>
      <c r="AV20" s="83">
        <v>0.96909999999999996</v>
      </c>
      <c r="AX20" s="75">
        <v>1</v>
      </c>
      <c r="AY20" s="81">
        <v>0.96</v>
      </c>
      <c r="AZ20" s="83">
        <v>0.97960000000000003</v>
      </c>
    </row>
    <row r="21" spans="1:52" ht="16.8" x14ac:dyDescent="0.3">
      <c r="A21"/>
      <c r="B21" s="86" t="s">
        <v>11</v>
      </c>
      <c r="C21" s="78">
        <f>D18/D21-1</f>
        <v>1.0190191604918328</v>
      </c>
      <c r="D21" s="29">
        <f>(N21+R21+V21+Z21+AD21+AH21+AL21+AP21+AT21+AX21)/10</f>
        <v>0.49529000000000006</v>
      </c>
      <c r="E21" s="29">
        <f>SQRT(((N21-D21)^2+(R21-D21)^2+(V21-D21)^2+(Z21-D21)^2+(AD21-D21)^2+(AH21-D21)^2+(AL21-D21)^2+(AP21-D21)^2+(AT21-D21)^2+(AX21-D21)^2)/10)</f>
        <v>6.9659664799652882E-2</v>
      </c>
      <c r="F21" s="79">
        <f>E21/D21</f>
        <v>0.14064419794393765</v>
      </c>
      <c r="G21" s="15">
        <f>(O21+S21+W21+AA21+AE21+AI21+AM21+AQ21+AU21+AY21)/10</f>
        <v>0.51700000000000013</v>
      </c>
      <c r="H21" s="25">
        <f>SQRT(((O21-G21)^2+(S21-G21)^2+(W21-G21)^2+(AA21-G21)^2+(AE21-G21)^2+(AI21-G21)^2+(AM21-G21)^2+(AQ21-G21)^2+(AU21-G21)^2+(AY21-G21)^2)/10)</f>
        <v>4.4056781543821401E-2</v>
      </c>
      <c r="I21" s="31">
        <f>H21/G21</f>
        <v>8.5216211883600373E-2</v>
      </c>
      <c r="J21" s="25">
        <f>(P21+T21+X21+AB21+AF21+AJ21+AN21+AR21+AV21+AZ21)/10</f>
        <v>0.47686000000000001</v>
      </c>
      <c r="K21" s="25">
        <f>SQRT(((P21-J21)^2+(T21-J21)^2+(X21-J21)^2+(AB21-J21)^2+(AF21-J21)^2+(AJ21-J21)^2+(AN21-J21)^2+(AR21-J21)^2+(AV21-J21)^2+(AZ21-J21)^2)/10)</f>
        <v>3.2867071667551997E-2</v>
      </c>
      <c r="L21" s="31">
        <f>K21/J21</f>
        <v>6.8923943437386226E-2</v>
      </c>
      <c r="N21" s="75">
        <v>0.46239999999999998</v>
      </c>
      <c r="O21" s="81">
        <v>0.55000000000000004</v>
      </c>
      <c r="P21" s="25">
        <v>0.4955</v>
      </c>
      <c r="R21" s="75">
        <v>0.6069</v>
      </c>
      <c r="S21" s="81">
        <v>0.5</v>
      </c>
      <c r="T21" s="83">
        <v>0.49080000000000001</v>
      </c>
      <c r="V21" s="75">
        <v>0.63319999999999999</v>
      </c>
      <c r="W21" s="81">
        <v>0.42</v>
      </c>
      <c r="X21" s="83">
        <v>0.4</v>
      </c>
      <c r="Z21" s="75">
        <v>0.46829999999999999</v>
      </c>
      <c r="AA21" s="81">
        <v>0.56000000000000005</v>
      </c>
      <c r="AB21" s="83">
        <v>0.49559999999999998</v>
      </c>
      <c r="AD21" s="75">
        <v>0.52900000000000003</v>
      </c>
      <c r="AE21" s="81">
        <v>0.56000000000000005</v>
      </c>
      <c r="AF21" s="83">
        <v>0.49340000000000001</v>
      </c>
      <c r="AH21" s="75">
        <v>0.46450000000000002</v>
      </c>
      <c r="AI21" s="81">
        <v>0.52</v>
      </c>
      <c r="AJ21" s="83">
        <v>0.48599999999999999</v>
      </c>
      <c r="AL21" s="75">
        <v>0.42849999999999999</v>
      </c>
      <c r="AM21" s="81">
        <v>0.55000000000000004</v>
      </c>
      <c r="AN21" s="83">
        <v>0.50929999999999997</v>
      </c>
      <c r="AO21" s="34"/>
      <c r="AP21" s="84">
        <v>0.49509999999999998</v>
      </c>
      <c r="AQ21" s="85">
        <v>0.48</v>
      </c>
      <c r="AR21" s="83">
        <v>0.45929999999999999</v>
      </c>
      <c r="AT21" s="75">
        <v>0.41239999999999999</v>
      </c>
      <c r="AU21" s="81">
        <v>0.48</v>
      </c>
      <c r="AV21" s="83">
        <v>0.43640000000000001</v>
      </c>
      <c r="AX21" s="75">
        <v>0.4526</v>
      </c>
      <c r="AY21" s="81">
        <v>0.55000000000000004</v>
      </c>
      <c r="AZ21" s="83">
        <v>0.50229999999999997</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2.752746067138645E-2</v>
      </c>
      <c r="D25" s="29">
        <f>(N25+R25+V25+Z25+AD25+AH25+AL25+AP25+AT25+AX25)/10</f>
        <v>0.97320999999999991</v>
      </c>
      <c r="E25" s="29">
        <f>SQRT(((N25-D25)^2+(R25-D25)^2+(V25-D25)^2+(Z25-D25)^2+(AD25-D25)^2+(AH25-D25)^2+(AL25-D25)^2+(AP25-D25)^2+(AT25-D25)^2+(AX25-D25)^2)/10)</f>
        <v>2.762046342840766E-3</v>
      </c>
      <c r="F25" s="79">
        <f>E25/D25</f>
        <v>2.8380784649158623E-3</v>
      </c>
      <c r="G25" s="15">
        <f>(O25+S25+W25+AA25+AE25+AI25+AM25+AQ25+AU25+AY25)/10</f>
        <v>0.91799999999999993</v>
      </c>
      <c r="H25" s="25">
        <f>SQRT(((O25-G25)^2+(S25-G25)^2+(W25-G25)^2+(AA25-G25)^2+(AE25-G25)^2+(AI25-G25)^2+(AM25-G25)^2+(AQ25-G25)^2+(AU25-G25)^2+(AY25-G25)^2)/10)</f>
        <v>8.7177978870813556E-3</v>
      </c>
      <c r="I25" s="31">
        <f>H25/G25</f>
        <v>9.4965118595657476E-3</v>
      </c>
      <c r="J25" s="25">
        <f>(P25+T25+X25+AB25+AF25+AJ25+AN25+AR25+AV25+AZ25)/10</f>
        <v>0.94058000000000008</v>
      </c>
      <c r="K25" s="25">
        <f>SQRT(((P25-J25)^2+(T25-J25)^2+(X25-J25)^2+(AB25-J25)^2+(AF25-J25)^2+(AJ25-J25)^2+(AN25-J25)^2+(AR25-J25)^2+(AV25-J25)^2+(AZ25-J25)^2)/10)</f>
        <v>4.5369152515778739E-3</v>
      </c>
      <c r="L25" s="31">
        <f>K25/J25</f>
        <v>4.8235293665375338E-3</v>
      </c>
      <c r="N25" s="75">
        <v>0.97489999999999999</v>
      </c>
      <c r="O25" s="81">
        <v>0.91</v>
      </c>
      <c r="P25" s="25">
        <v>0.93810000000000004</v>
      </c>
      <c r="R25" s="75">
        <v>0.97660000000000002</v>
      </c>
      <c r="S25" s="81">
        <v>0.91</v>
      </c>
      <c r="T25" s="25">
        <v>0.94299999999999995</v>
      </c>
      <c r="V25" s="75">
        <v>0.96750000000000003</v>
      </c>
      <c r="W25" s="81">
        <v>0.92</v>
      </c>
      <c r="X25" s="25">
        <v>0.92930000000000001</v>
      </c>
      <c r="Z25" s="75">
        <v>0.97660000000000002</v>
      </c>
      <c r="AA25" s="81">
        <v>0.91</v>
      </c>
      <c r="AB25" s="25">
        <v>0.94299999999999995</v>
      </c>
      <c r="AD25" s="75">
        <v>0.97119999999999995</v>
      </c>
      <c r="AE25" s="81">
        <v>0.93</v>
      </c>
      <c r="AF25" s="25">
        <v>0.94420000000000004</v>
      </c>
      <c r="AH25" s="75">
        <v>0.97489999999999999</v>
      </c>
      <c r="AI25" s="81">
        <v>0.91</v>
      </c>
      <c r="AJ25" s="25">
        <v>0.93810000000000004</v>
      </c>
      <c r="AL25" s="75">
        <v>0.97119999999999995</v>
      </c>
      <c r="AM25" s="81">
        <v>0.93</v>
      </c>
      <c r="AN25" s="25">
        <v>0.94420000000000004</v>
      </c>
      <c r="AP25" s="75">
        <v>0.97119999999999995</v>
      </c>
      <c r="AQ25" s="81">
        <v>0.93</v>
      </c>
      <c r="AR25" s="25">
        <v>0.94420000000000004</v>
      </c>
      <c r="AT25" s="75">
        <v>0.97309999999999997</v>
      </c>
      <c r="AU25" s="81">
        <v>0.92</v>
      </c>
      <c r="AV25" s="25">
        <v>0.94359999999999999</v>
      </c>
      <c r="AX25" s="75">
        <v>0.97489999999999999</v>
      </c>
      <c r="AY25" s="81">
        <v>0.91</v>
      </c>
      <c r="AZ25" s="25">
        <v>0.93810000000000004</v>
      </c>
    </row>
    <row r="26" spans="1:52" ht="33.6" x14ac:dyDescent="0.3">
      <c r="A26"/>
      <c r="B26" s="86" t="s">
        <v>45</v>
      </c>
      <c r="C26" s="80"/>
      <c r="D26" s="29">
        <f>(N26+R26+V26+Z26+AD26+AH26+AL26+AP26+AT26+AX26)/10</f>
        <v>1</v>
      </c>
      <c r="E26" s="29">
        <f>SQRT(((N26-D26)^2+(R26-D26)^2+(V26-D26)^2+(Z26-D26)^2+(AD26-D26)^2+(AH26-D26)^2+(AL26-D26)^2+(AP26-D26)^2+(AT26-D26)^2+(AX26-D26)^2)/10)</f>
        <v>0</v>
      </c>
      <c r="F26" s="79">
        <f>E26/D26</f>
        <v>0</v>
      </c>
      <c r="G26" s="18">
        <f>(O26+S26+W26+AA26+AE26+AI26+AM26+AQ26+AU26+AY26)/10</f>
        <v>1</v>
      </c>
      <c r="H26" s="64">
        <f>SQRT(((O26-G26)^2+(S26-G26)^2+(W26-G26)^2+(AA26-G26)^2+(AE26-G26)^2+(AI26-G26)^2+(AM26-G26)^2+(AQ26-G26)^2+(AU26-G26)^2+(AY26-G26)^2)/10)</f>
        <v>0</v>
      </c>
      <c r="I26" s="62">
        <f>H26/G26</f>
        <v>0</v>
      </c>
      <c r="J26" s="64">
        <f>(P26+T26+X26+AB26+AF26+AJ26+AN26+AR26+AV26+AZ26)/10</f>
        <v>1</v>
      </c>
      <c r="K26" s="64">
        <f>SQRT(((P26-J26)^2+(T26-J26)^2+(X26-J26)^2+(AB26-J26)^2+(AF26-J26)^2+(AJ26-J26)^2+(AN26-J26)^2+(AR26-J26)^2+(AV26-J26)^2+(AZ26-J26)^2)/10)</f>
        <v>0</v>
      </c>
      <c r="L26" s="62">
        <f>K26/J26</f>
        <v>0</v>
      </c>
      <c r="N26" s="75">
        <v>1</v>
      </c>
      <c r="O26" s="81">
        <v>1</v>
      </c>
      <c r="P26" s="25">
        <v>1</v>
      </c>
      <c r="R26" s="75">
        <v>1</v>
      </c>
      <c r="S26" s="81">
        <v>1</v>
      </c>
      <c r="T26" s="25">
        <v>1</v>
      </c>
      <c r="V26" s="75">
        <v>1</v>
      </c>
      <c r="W26" s="81">
        <v>1</v>
      </c>
      <c r="X26" s="25">
        <v>1</v>
      </c>
      <c r="Z26" s="75">
        <v>1</v>
      </c>
      <c r="AA26" s="81">
        <v>1</v>
      </c>
      <c r="AB26" s="25">
        <v>1</v>
      </c>
      <c r="AD26" s="75">
        <v>1</v>
      </c>
      <c r="AE26" s="81">
        <v>1</v>
      </c>
      <c r="AF26" s="25">
        <v>1</v>
      </c>
      <c r="AH26" s="75">
        <v>1</v>
      </c>
      <c r="AI26" s="81">
        <v>1</v>
      </c>
      <c r="AJ26" s="25">
        <v>1</v>
      </c>
      <c r="AL26" s="75">
        <v>1</v>
      </c>
      <c r="AM26" s="81">
        <v>1</v>
      </c>
      <c r="AN26" s="25">
        <v>1</v>
      </c>
      <c r="AP26" s="75">
        <v>1</v>
      </c>
      <c r="AQ26" s="81">
        <v>1</v>
      </c>
      <c r="AR26" s="25">
        <v>1</v>
      </c>
      <c r="AT26" s="75">
        <v>1</v>
      </c>
      <c r="AU26" s="81">
        <v>1</v>
      </c>
      <c r="AV26" s="25">
        <v>1</v>
      </c>
      <c r="AX26" s="75">
        <v>1</v>
      </c>
      <c r="AY26" s="81">
        <v>1</v>
      </c>
      <c r="AZ26" s="25">
        <v>1</v>
      </c>
    </row>
    <row r="27" spans="1:52" ht="16.8" x14ac:dyDescent="0.3">
      <c r="A27"/>
      <c r="B27" s="86" t="s">
        <v>5</v>
      </c>
      <c r="C27" s="78">
        <f>D26/D27-1</f>
        <v>2.3053021950485419E-3</v>
      </c>
      <c r="D27" s="29">
        <f>(N27+R27+V27+Z27+AD27+AH27+AL27+AP27+AT27+AX27)/10</f>
        <v>0.99770000000000003</v>
      </c>
      <c r="E27" s="29">
        <f>SQRT(((N27-D27)^2+(R27-D27)^2+(V27-D27)^2+(Z27-D27)^2+(AD27-D27)^2+(AH27-D27)^2+(AL27-D27)^2+(AP27-D27)^2+(AT27-D27)^2+(AX27-D27)^2)/10)</f>
        <v>1.1506519890914027E-3</v>
      </c>
      <c r="F27" s="79">
        <f>E27/D27</f>
        <v>1.153304589647592E-3</v>
      </c>
      <c r="G27" s="15">
        <f>(O27+S27+W27+AA27+AE27+AI27+AM27+AQ27+AU27+AY27)/10</f>
        <v>0.95699999999999985</v>
      </c>
      <c r="H27" s="25">
        <f>SQRT(((O27-G27)^2+(S27-G27)^2+(W27-G27)^2+(AA27-G27)^2+(AE27-G27)^2+(AI27-G27)^2+(AM27-G27)^2+(AQ27-G27)^2+(AU27-G27)^2+(AY27-G27)^2)/10)</f>
        <v>1.3453624047073722E-2</v>
      </c>
      <c r="I27" s="31">
        <f>H27/G27</f>
        <v>1.4058123351174215E-2</v>
      </c>
      <c r="J27" s="25">
        <f>(P27+T27+X27+AB27+AF27+AJ27+AN27+AR27+AV27+AZ27)/10</f>
        <v>0.97155999999999987</v>
      </c>
      <c r="K27" s="25">
        <f>SQRT(((P27-J27)^2+(T27-J27)^2+(X27-J27)^2+(AB27-J27)^2+(AF27-J27)^2+(AJ27-J27)^2+(AN27-J27)^2+(AR27-J27)^2+(AV27-J27)^2+(AZ27-J27)^2)/10)</f>
        <v>4.7628142940912685E-3</v>
      </c>
      <c r="L27" s="31">
        <f>K27/J27</f>
        <v>4.9022338240471705E-3</v>
      </c>
      <c r="N27" s="75">
        <v>0.99829999999999997</v>
      </c>
      <c r="O27" s="25">
        <v>0.98</v>
      </c>
      <c r="P27" s="25">
        <v>0.97509999999999997</v>
      </c>
      <c r="R27" s="75">
        <v>0.99790000000000001</v>
      </c>
      <c r="S27" s="81">
        <v>0.94</v>
      </c>
      <c r="T27" s="82">
        <v>0.96909999999999996</v>
      </c>
      <c r="V27" s="75">
        <v>0.99839999999999995</v>
      </c>
      <c r="W27" s="81">
        <v>0.94</v>
      </c>
      <c r="X27" s="82">
        <v>0.96409999999999996</v>
      </c>
      <c r="Z27" s="75">
        <v>0.99829999999999997</v>
      </c>
      <c r="AA27" s="81">
        <v>0.96</v>
      </c>
      <c r="AB27" s="82">
        <v>0.97960000000000003</v>
      </c>
      <c r="AD27" s="75">
        <v>0.99770000000000003</v>
      </c>
      <c r="AE27" s="81">
        <v>0.95</v>
      </c>
      <c r="AF27" s="82">
        <v>0.96940000000000004</v>
      </c>
      <c r="AH27" s="75">
        <v>0.99790000000000001</v>
      </c>
      <c r="AI27" s="81">
        <v>0.97</v>
      </c>
      <c r="AJ27" s="82">
        <v>0.97489999999999999</v>
      </c>
      <c r="AL27" s="75">
        <v>0.99880000000000002</v>
      </c>
      <c r="AM27" s="81">
        <v>0.96</v>
      </c>
      <c r="AN27" s="82">
        <v>0.97460000000000002</v>
      </c>
      <c r="AP27" s="75">
        <v>0.99480000000000002</v>
      </c>
      <c r="AQ27" s="81">
        <v>0.94</v>
      </c>
      <c r="AR27" s="82">
        <v>0.96909999999999996</v>
      </c>
      <c r="AT27" s="75">
        <v>0.99639999999999995</v>
      </c>
      <c r="AU27" s="81">
        <v>0.96</v>
      </c>
      <c r="AV27" s="82">
        <v>0.96479999999999999</v>
      </c>
      <c r="AX27" s="75">
        <v>0.99850000000000005</v>
      </c>
      <c r="AY27" s="81">
        <v>0.97</v>
      </c>
      <c r="AZ27" s="82">
        <v>0.97489999999999999</v>
      </c>
    </row>
    <row r="28" spans="1:52" ht="16.8" x14ac:dyDescent="0.3">
      <c r="A28" s="3"/>
      <c r="B28" s="86" t="s">
        <v>1</v>
      </c>
      <c r="C28" s="87">
        <f>D26/D28-1</f>
        <v>1.3718794748807106E-3</v>
      </c>
      <c r="D28" s="29">
        <f>(N28+R28+V28+Z28+AD28+AH28+AL28+AP28+AT28+AX28)/10</f>
        <v>0.9986299999999998</v>
      </c>
      <c r="E28" s="29">
        <f>SQRT(((N28-D28)^2+(R28-D28)^2+(V28-D28)^2+(Z28-D28)^2+(AD28-D28)^2+(AH28-D28)^2+(AL28-D28)^2+(AP28-D28)^2+(AT28-D28)^2+(AX28-D28)^2)/10)</f>
        <v>1.8401358645491243E-3</v>
      </c>
      <c r="F28" s="79">
        <f>E28/D28</f>
        <v>1.8426603091726912E-3</v>
      </c>
      <c r="G28" s="15">
        <f>(O28+S28+W28+AA28+AE28+AI28+AM28+AQ28+AU28+AY28)/10</f>
        <v>0.94600000000000006</v>
      </c>
      <c r="H28" s="25">
        <f>SQRT(((O28-G28)^2+(S28-G28)^2+(W28-G28)^2+(AA28-G28)^2+(AE28-G28)^2+(AI28-G28)^2+(AM28-G28)^2+(AQ28-G28)^2+(AU28-G28)^2+(AY28-G28)^2)/10)</f>
        <v>2.8354893757515636E-2</v>
      </c>
      <c r="I28" s="31">
        <f>H28/G28</f>
        <v>2.9973460631623292E-2</v>
      </c>
      <c r="J28" s="25">
        <f>(P28+T28+X28+AB28+AF28+AJ28+AN28+AR28+AV28+AZ28)/10</f>
        <v>0.97204999999999997</v>
      </c>
      <c r="K28" s="25">
        <f>SQRT(((P28-J28)^2+(T28-J28)^2+(X28-J28)^2+(AB28-J28)^2+(AF28-J28)^2+(AJ28-J28)^2+(AN28-J28)^2+(AR28-J28)^2+(AV28-J28)^2+(AZ28-J28)^2)/10)</f>
        <v>1.5176840909754581E-2</v>
      </c>
      <c r="L28" s="31">
        <f>K28/J28</f>
        <v>1.5613230708044424E-2</v>
      </c>
      <c r="N28" s="75">
        <v>0.99880000000000002</v>
      </c>
      <c r="O28" s="25">
        <v>0.97</v>
      </c>
      <c r="P28" s="25">
        <v>0.98480000000000001</v>
      </c>
      <c r="R28" s="75">
        <v>1</v>
      </c>
      <c r="S28" s="81">
        <v>0.97</v>
      </c>
      <c r="T28" s="83">
        <v>0.98480000000000001</v>
      </c>
      <c r="V28" s="75">
        <v>0.99929999999999997</v>
      </c>
      <c r="W28" s="81">
        <v>0.94</v>
      </c>
      <c r="X28" s="83">
        <v>0.96909999999999996</v>
      </c>
      <c r="Z28" s="75">
        <v>0.99750000000000005</v>
      </c>
      <c r="AA28" s="81">
        <v>0.95</v>
      </c>
      <c r="AB28" s="83">
        <v>0.97440000000000004</v>
      </c>
      <c r="AD28" s="75">
        <v>1</v>
      </c>
      <c r="AE28" s="81">
        <v>0.98</v>
      </c>
      <c r="AF28" s="83">
        <v>0.9899</v>
      </c>
      <c r="AH28" s="75">
        <v>0.99860000000000004</v>
      </c>
      <c r="AI28" s="81">
        <v>0.89</v>
      </c>
      <c r="AJ28" s="83">
        <v>0.94179999999999997</v>
      </c>
      <c r="AL28" s="75">
        <v>0.99970000000000003</v>
      </c>
      <c r="AM28" s="81">
        <v>0.96</v>
      </c>
      <c r="AN28" s="83">
        <v>0.97960000000000003</v>
      </c>
      <c r="AP28" s="75">
        <v>0.99360000000000004</v>
      </c>
      <c r="AQ28" s="81">
        <v>0.9</v>
      </c>
      <c r="AR28" s="83">
        <v>0.94740000000000002</v>
      </c>
      <c r="AT28" s="75">
        <v>0.99880000000000002</v>
      </c>
      <c r="AU28" s="81">
        <v>0.94</v>
      </c>
      <c r="AV28" s="83">
        <v>0.96909999999999996</v>
      </c>
      <c r="AX28" s="75">
        <v>1</v>
      </c>
      <c r="AY28" s="81">
        <v>0.96</v>
      </c>
      <c r="AZ28" s="83">
        <v>0.97960000000000003</v>
      </c>
    </row>
    <row r="29" spans="1:52" ht="16.8" x14ac:dyDescent="0.3">
      <c r="A29"/>
      <c r="B29" s="86" t="s">
        <v>11</v>
      </c>
      <c r="C29" s="78">
        <f>D26/D29-1</f>
        <v>1.0190191604918328</v>
      </c>
      <c r="D29" s="29">
        <f>(N29+R29+V29+Z29+AD29+AH29+AL29+AP29+AT29+AX29)/10</f>
        <v>0.49529000000000006</v>
      </c>
      <c r="E29" s="29">
        <f>SQRT(((N29-D29)^2+(R29-D29)^2+(V29-D29)^2+(Z29-D29)^2+(AD29-D29)^2+(AH29-D29)^2+(AL29-D29)^2+(AP29-D29)^2+(AT29-D29)^2+(AX29-D29)^2)/10)</f>
        <v>6.9659664799652882E-2</v>
      </c>
      <c r="F29" s="79">
        <f>E29/D29</f>
        <v>0.14064419794393765</v>
      </c>
      <c r="G29" s="15">
        <f>(O29+S29+W29+AA29+AE29+AI29+AM29+AQ29+AU29+AY29)/10</f>
        <v>0.51700000000000013</v>
      </c>
      <c r="H29" s="25">
        <f>SQRT(((O29-G29)^2+(S29-G29)^2+(W29-G29)^2+(AA29-G29)^2+(AE29-G29)^2+(AI29-G29)^2+(AM29-G29)^2+(AQ29-G29)^2+(AU29-G29)^2+(AY29-G29)^2)/10)</f>
        <v>4.4056781543821401E-2</v>
      </c>
      <c r="I29" s="31">
        <f>H29/G29</f>
        <v>8.5216211883600373E-2</v>
      </c>
      <c r="J29" s="25">
        <f>(P29+T29+X29+AB29+AF29+AJ29+AN29+AR29+AV29+AZ29)/10</f>
        <v>0.47686000000000001</v>
      </c>
      <c r="K29" s="25">
        <f>SQRT(((P29-J29)^2+(T29-J29)^2+(X29-J29)^2+(AB29-J29)^2+(AF29-J29)^2+(AJ29-J29)^2+(AN29-J29)^2+(AR29-J29)^2+(AV29-J29)^2+(AZ29-J29)^2)/10)</f>
        <v>3.2867071667551997E-2</v>
      </c>
      <c r="L29" s="31">
        <f>K29/J29</f>
        <v>6.8923943437386226E-2</v>
      </c>
      <c r="N29" s="75">
        <v>0.46239999999999998</v>
      </c>
      <c r="O29" s="81">
        <v>0.55000000000000004</v>
      </c>
      <c r="P29" s="25">
        <v>0.4955</v>
      </c>
      <c r="R29" s="75">
        <v>0.6069</v>
      </c>
      <c r="S29" s="81">
        <v>0.5</v>
      </c>
      <c r="T29" s="83">
        <v>0.49080000000000001</v>
      </c>
      <c r="V29" s="75">
        <v>0.63319999999999999</v>
      </c>
      <c r="W29" s="81">
        <v>0.42</v>
      </c>
      <c r="X29" s="83">
        <v>0.4</v>
      </c>
      <c r="Z29" s="75">
        <v>0.46829999999999999</v>
      </c>
      <c r="AA29" s="81">
        <v>0.56000000000000005</v>
      </c>
      <c r="AB29" s="83">
        <v>0.49559999999999998</v>
      </c>
      <c r="AD29" s="75">
        <v>0.52900000000000003</v>
      </c>
      <c r="AE29" s="81">
        <v>0.56000000000000005</v>
      </c>
      <c r="AF29" s="83">
        <v>0.49340000000000001</v>
      </c>
      <c r="AH29" s="75">
        <v>0.46450000000000002</v>
      </c>
      <c r="AI29" s="81">
        <v>0.52</v>
      </c>
      <c r="AJ29" s="83">
        <v>0.48599999999999999</v>
      </c>
      <c r="AL29" s="75">
        <v>0.42849999999999999</v>
      </c>
      <c r="AM29" s="81">
        <v>0.55000000000000004</v>
      </c>
      <c r="AN29" s="83">
        <v>0.50929999999999997</v>
      </c>
      <c r="AO29" s="34"/>
      <c r="AP29" s="84">
        <v>0.49509999999999998</v>
      </c>
      <c r="AQ29" s="85">
        <v>0.48</v>
      </c>
      <c r="AR29" s="83">
        <v>0.45929999999999999</v>
      </c>
      <c r="AT29" s="75">
        <v>0.41239999999999999</v>
      </c>
      <c r="AU29" s="81">
        <v>0.48</v>
      </c>
      <c r="AV29" s="83">
        <v>0.43640000000000001</v>
      </c>
      <c r="AX29" s="75">
        <v>0.4526</v>
      </c>
      <c r="AY29" s="81">
        <v>0.55000000000000004</v>
      </c>
      <c r="AZ29" s="83">
        <v>0.50229999999999997</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2.752746067138645E-2</v>
      </c>
      <c r="D33" s="29">
        <f>(N33+R33+V33+Z33+AD33+AH33+AL33+AP33+AT33+AX33)/10</f>
        <v>0.97320999999999991</v>
      </c>
      <c r="E33" s="29">
        <f>SQRT(((N33-D33)^2+(R33-D33)^2+(V33-D33)^2+(Z33-D33)^2+(AD33-D33)^2+(AH33-D33)^2+(AL33-D33)^2+(AP33-D33)^2+(AT33-D33)^2+(AX33-D33)^2)/10)</f>
        <v>2.762046342840766E-3</v>
      </c>
      <c r="F33" s="79">
        <f>E33/D33</f>
        <v>2.8380784649158623E-3</v>
      </c>
      <c r="G33" s="15">
        <f>(O33+S33+W33+AA33+AE33+AI33+AM33+AQ33+AU33+AY33)/10</f>
        <v>0.91799999999999993</v>
      </c>
      <c r="H33" s="25">
        <f>SQRT(((O33-G33)^2+(S33-G33)^2+(W33-G33)^2+(AA33-G33)^2+(AE33-G33)^2+(AI33-G33)^2+(AM33-G33)^2+(AQ33-G33)^2+(AU33-G33)^2+(AY33-G33)^2)/10)</f>
        <v>8.7177978870813556E-3</v>
      </c>
      <c r="I33" s="31">
        <f>H33/G33</f>
        <v>9.4965118595657476E-3</v>
      </c>
      <c r="J33" s="25">
        <f>(P33+T33+X33+AB33+AF33+AJ33+AN33+AR33+AV33+AZ33)/10</f>
        <v>0.94058000000000008</v>
      </c>
      <c r="K33" s="25">
        <f>SQRT(((P33-J33)^2+(T33-J33)^2+(X33-J33)^2+(AB33-J33)^2+(AF33-J33)^2+(AJ33-J33)^2+(AN33-J33)^2+(AR33-J33)^2+(AV33-J33)^2+(AZ33-J33)^2)/10)</f>
        <v>4.5369152515778739E-3</v>
      </c>
      <c r="L33" s="31">
        <f>K33/J33</f>
        <v>4.8235293665375338E-3</v>
      </c>
      <c r="N33" s="75">
        <v>0.97489999999999999</v>
      </c>
      <c r="O33" s="81">
        <v>0.91</v>
      </c>
      <c r="P33" s="25">
        <v>0.93810000000000004</v>
      </c>
      <c r="R33" s="75">
        <v>0.97660000000000002</v>
      </c>
      <c r="S33" s="81">
        <v>0.91</v>
      </c>
      <c r="T33" s="25">
        <v>0.94299999999999995</v>
      </c>
      <c r="V33" s="75">
        <v>0.96750000000000003</v>
      </c>
      <c r="W33" s="81">
        <v>0.92</v>
      </c>
      <c r="X33" s="25">
        <v>0.92930000000000001</v>
      </c>
      <c r="Z33" s="75">
        <v>0.97660000000000002</v>
      </c>
      <c r="AA33" s="81">
        <v>0.91</v>
      </c>
      <c r="AB33" s="25">
        <v>0.94299999999999995</v>
      </c>
      <c r="AD33" s="75">
        <v>0.97119999999999995</v>
      </c>
      <c r="AE33" s="81">
        <v>0.93</v>
      </c>
      <c r="AF33" s="25">
        <v>0.94420000000000004</v>
      </c>
      <c r="AH33" s="75">
        <v>0.97489999999999999</v>
      </c>
      <c r="AI33" s="81">
        <v>0.91</v>
      </c>
      <c r="AJ33" s="25">
        <v>0.93810000000000004</v>
      </c>
      <c r="AL33" s="75">
        <v>0.97119999999999995</v>
      </c>
      <c r="AM33" s="81">
        <v>0.93</v>
      </c>
      <c r="AN33" s="25">
        <v>0.94420000000000004</v>
      </c>
      <c r="AP33" s="75">
        <v>0.97119999999999995</v>
      </c>
      <c r="AQ33" s="81">
        <v>0.93</v>
      </c>
      <c r="AR33" s="25">
        <v>0.94420000000000004</v>
      </c>
      <c r="AT33" s="75">
        <v>0.97309999999999997</v>
      </c>
      <c r="AU33" s="81">
        <v>0.92</v>
      </c>
      <c r="AV33" s="25">
        <v>0.94359999999999999</v>
      </c>
      <c r="AX33" s="75">
        <v>0.97489999999999999</v>
      </c>
      <c r="AY33" s="81">
        <v>0.91</v>
      </c>
      <c r="AZ33" s="25">
        <v>0.93810000000000004</v>
      </c>
    </row>
    <row r="34" spans="1:52" ht="33.6" x14ac:dyDescent="0.3">
      <c r="A34" s="3"/>
      <c r="B34" s="86" t="s">
        <v>46</v>
      </c>
      <c r="C34" s="80"/>
      <c r="D34" s="29">
        <f>(N34+R34+V34+Z34+AD34+AH34+AL34+AP34+AT34+AX34)/10</f>
        <v>1</v>
      </c>
      <c r="E34" s="29">
        <f>SQRT(((N34-D34)^2+(R34-D34)^2+(V34-D34)^2+(Z34-D34)^2+(AD34-D34)^2+(AH34-D34)^2+(AL34-D34)^2+(AP34-D34)^2+(AT34-D34)^2+(AX34-D34)^2)/10)</f>
        <v>0</v>
      </c>
      <c r="F34" s="79">
        <f>E34/D34</f>
        <v>0</v>
      </c>
      <c r="G34" s="15">
        <f>(O34+S34+W34+AA34+AE34+AI34+AM34+AQ34+AU34+AY34)/10</f>
        <v>1</v>
      </c>
      <c r="H34" s="25">
        <f>SQRT(((O34-G34)^2+(S34-G34)^2+(W34-G34)^2+(AA34-G34)^2+(AE34-G34)^2+(AI34-G34)^2+(AM34-G34)^2+(AQ34-G34)^2+(AU34-G34)^2+(AY34-G34)^2)/10)</f>
        <v>0</v>
      </c>
      <c r="I34" s="62">
        <f>H34/G34</f>
        <v>0</v>
      </c>
      <c r="J34" s="25">
        <f>(P34+T34+X34+AB34+AF34+AJ34+AN34+AR34+AV34+AZ34)/10</f>
        <v>1</v>
      </c>
      <c r="K34" s="25">
        <f>SQRT(((P34-J34)^2+(T34-J34)^2+(X34-J34)^2+(AB34-J34)^2+(AF34-J34)^2+(AJ34-J34)^2+(AN34-J34)^2+(AR34-J34)^2+(AV34-J34)^2+(AZ34-J34)^2)/10)</f>
        <v>0</v>
      </c>
      <c r="L34" s="62">
        <f>K34/J34</f>
        <v>0</v>
      </c>
      <c r="N34" s="75">
        <v>1</v>
      </c>
      <c r="O34" s="81">
        <v>1</v>
      </c>
      <c r="P34" s="25">
        <v>1</v>
      </c>
      <c r="R34" s="75">
        <v>1</v>
      </c>
      <c r="S34" s="81">
        <v>1</v>
      </c>
      <c r="T34" s="25">
        <v>1</v>
      </c>
      <c r="V34" s="75">
        <v>1</v>
      </c>
      <c r="W34" s="81">
        <v>1</v>
      </c>
      <c r="X34" s="25">
        <v>1</v>
      </c>
      <c r="Z34" s="75">
        <v>1</v>
      </c>
      <c r="AA34" s="81">
        <v>1</v>
      </c>
      <c r="AB34" s="25">
        <v>1</v>
      </c>
      <c r="AD34" s="75">
        <v>1</v>
      </c>
      <c r="AE34" s="81">
        <v>1</v>
      </c>
      <c r="AF34" s="25">
        <v>1</v>
      </c>
      <c r="AH34" s="75">
        <v>1</v>
      </c>
      <c r="AI34" s="81">
        <v>1</v>
      </c>
      <c r="AJ34" s="25">
        <v>1</v>
      </c>
      <c r="AL34" s="75">
        <v>1</v>
      </c>
      <c r="AM34" s="81">
        <v>1</v>
      </c>
      <c r="AN34" s="25">
        <v>1</v>
      </c>
      <c r="AP34" s="75">
        <v>1</v>
      </c>
      <c r="AQ34" s="81">
        <v>1</v>
      </c>
      <c r="AR34" s="25">
        <v>1</v>
      </c>
      <c r="AT34" s="75">
        <v>1</v>
      </c>
      <c r="AU34" s="81">
        <v>1</v>
      </c>
      <c r="AV34" s="25">
        <v>1</v>
      </c>
      <c r="AX34" s="75">
        <v>1</v>
      </c>
      <c r="AY34" s="81">
        <v>1</v>
      </c>
      <c r="AZ34" s="25">
        <v>1</v>
      </c>
    </row>
    <row r="35" spans="1:52" ht="16.8" x14ac:dyDescent="0.3">
      <c r="B35" s="86" t="s">
        <v>5</v>
      </c>
      <c r="C35" s="78">
        <f>D34/D35-1</f>
        <v>2.3053021950485419E-3</v>
      </c>
      <c r="D35" s="29">
        <f>(N35+R35+V35+Z35+AD35+AH35+AL35+AP35+AT35+AX35)/10</f>
        <v>0.99770000000000003</v>
      </c>
      <c r="E35" s="29">
        <f>SQRT(((N35-D35)^2+(R35-D35)^2+(V35-D35)^2+(Z35-D35)^2+(AD35-D35)^2+(AH35-D35)^2+(AL35-D35)^2+(AP35-D35)^2+(AT35-D35)^2+(AX35-D35)^2)/10)</f>
        <v>1.1506519890914027E-3</v>
      </c>
      <c r="F35" s="79">
        <f>E35/D35</f>
        <v>1.153304589647592E-3</v>
      </c>
      <c r="G35" s="15">
        <f>(O35+S35+W35+AA35+AE35+AI35+AM35+AQ35+AU35+AY35)/10</f>
        <v>0.95699999999999985</v>
      </c>
      <c r="H35" s="25">
        <f>SQRT(((O35-G35)^2+(S35-G35)^2+(W35-G35)^2+(AA35-G35)^2+(AE35-G35)^2+(AI35-G35)^2+(AM35-G35)^2+(AQ35-G35)^2+(AU35-G35)^2+(AY35-G35)^2)/10)</f>
        <v>1.3453624047073722E-2</v>
      </c>
      <c r="I35" s="31">
        <f>H35/G35</f>
        <v>1.4058123351174215E-2</v>
      </c>
      <c r="J35" s="25">
        <f>(P35+T35+X35+AB35+AF35+AJ35+AN35+AR35+AV35+AZ35)/10</f>
        <v>0.97155999999999987</v>
      </c>
      <c r="K35" s="25">
        <f>SQRT(((P35-J35)^2+(T35-J35)^2+(X35-J35)^2+(AB35-J35)^2+(AF35-J35)^2+(AJ35-J35)^2+(AN35-J35)^2+(AR35-J35)^2+(AV35-J35)^2+(AZ35-J35)^2)/10)</f>
        <v>4.7628142940912685E-3</v>
      </c>
      <c r="L35" s="31">
        <f>K35/J35</f>
        <v>4.9022338240471705E-3</v>
      </c>
      <c r="N35" s="75">
        <v>0.99829999999999997</v>
      </c>
      <c r="O35" s="25">
        <v>0.98</v>
      </c>
      <c r="P35" s="25">
        <v>0.97509999999999997</v>
      </c>
      <c r="R35" s="75">
        <v>0.99790000000000001</v>
      </c>
      <c r="S35" s="81">
        <v>0.94</v>
      </c>
      <c r="T35" s="82">
        <v>0.96909999999999996</v>
      </c>
      <c r="V35" s="75">
        <v>0.99839999999999995</v>
      </c>
      <c r="W35" s="81">
        <v>0.94</v>
      </c>
      <c r="X35" s="82">
        <v>0.96409999999999996</v>
      </c>
      <c r="Z35" s="75">
        <v>0.99829999999999997</v>
      </c>
      <c r="AA35" s="81">
        <v>0.96</v>
      </c>
      <c r="AB35" s="82">
        <v>0.97960000000000003</v>
      </c>
      <c r="AD35" s="75">
        <v>0.99770000000000003</v>
      </c>
      <c r="AE35" s="81">
        <v>0.95</v>
      </c>
      <c r="AF35" s="82">
        <v>0.96940000000000004</v>
      </c>
      <c r="AH35" s="75">
        <v>0.99790000000000001</v>
      </c>
      <c r="AI35" s="81">
        <v>0.97</v>
      </c>
      <c r="AJ35" s="82">
        <v>0.97489999999999999</v>
      </c>
      <c r="AL35" s="75">
        <v>0.99880000000000002</v>
      </c>
      <c r="AM35" s="81">
        <v>0.96</v>
      </c>
      <c r="AN35" s="82">
        <v>0.97460000000000002</v>
      </c>
      <c r="AP35" s="75">
        <v>0.99480000000000002</v>
      </c>
      <c r="AQ35" s="81">
        <v>0.94</v>
      </c>
      <c r="AR35" s="82">
        <v>0.96909999999999996</v>
      </c>
      <c r="AT35" s="75">
        <v>0.99639999999999995</v>
      </c>
      <c r="AU35" s="81">
        <v>0.96</v>
      </c>
      <c r="AV35" s="82">
        <v>0.96479999999999999</v>
      </c>
      <c r="AX35" s="75">
        <v>0.99850000000000005</v>
      </c>
      <c r="AY35" s="81">
        <v>0.97</v>
      </c>
      <c r="AZ35" s="82">
        <v>0.97489999999999999</v>
      </c>
    </row>
    <row r="36" spans="1:52" ht="16.8" x14ac:dyDescent="0.3">
      <c r="B36" s="86" t="s">
        <v>1</v>
      </c>
      <c r="C36" s="87">
        <f>D34/D36-1</f>
        <v>1.3718794748807106E-3</v>
      </c>
      <c r="D36" s="29">
        <f>(N36+R36+V36+Z36+AD36+AH36+AL36+AP36+AT36+AX36)/10</f>
        <v>0.9986299999999998</v>
      </c>
      <c r="E36" s="29">
        <f>SQRT(((N36-D36)^2+(R36-D36)^2+(V36-D36)^2+(Z36-D36)^2+(AD36-D36)^2+(AH36-D36)^2+(AL36-D36)^2+(AP36-D36)^2+(AT36-D36)^2+(AX36-D36)^2)/10)</f>
        <v>1.8401358645491243E-3</v>
      </c>
      <c r="F36" s="79">
        <f>E36/D36</f>
        <v>1.8426603091726912E-3</v>
      </c>
      <c r="G36" s="15">
        <f>(O36+S36+W36+AA36+AE36+AI36+AM36+AQ36+AU36+AY36)/10</f>
        <v>0.94600000000000006</v>
      </c>
      <c r="H36" s="25">
        <f>SQRT(((O36-G36)^2+(S36-G36)^2+(W36-G36)^2+(AA36-G36)^2+(AE36-G36)^2+(AI36-G36)^2+(AM36-G36)^2+(AQ36-G36)^2+(AU36-G36)^2+(AY36-G36)^2)/10)</f>
        <v>2.8354893757515636E-2</v>
      </c>
      <c r="I36" s="31">
        <f>H36/G36</f>
        <v>2.9973460631623292E-2</v>
      </c>
      <c r="J36" s="25">
        <f>(P36+T36+X36+AB36+AF36+AJ36+AN36+AR36+AV36+AZ36)/10</f>
        <v>0.97204999999999997</v>
      </c>
      <c r="K36" s="25">
        <f>SQRT(((P36-J36)^2+(T36-J36)^2+(X36-J36)^2+(AB36-J36)^2+(AF36-J36)^2+(AJ36-J36)^2+(AN36-J36)^2+(AR36-J36)^2+(AV36-J36)^2+(AZ36-J36)^2)/10)</f>
        <v>1.5176840909754581E-2</v>
      </c>
      <c r="L36" s="31">
        <f>K36/J36</f>
        <v>1.5613230708044424E-2</v>
      </c>
      <c r="N36" s="75">
        <v>0.99880000000000002</v>
      </c>
      <c r="O36" s="25">
        <v>0.97</v>
      </c>
      <c r="P36" s="25">
        <v>0.98480000000000001</v>
      </c>
      <c r="R36" s="75">
        <v>1</v>
      </c>
      <c r="S36" s="81">
        <v>0.97</v>
      </c>
      <c r="T36" s="83">
        <v>0.98480000000000001</v>
      </c>
      <c r="V36" s="75">
        <v>0.99929999999999997</v>
      </c>
      <c r="W36" s="81">
        <v>0.94</v>
      </c>
      <c r="X36" s="83">
        <v>0.96909999999999996</v>
      </c>
      <c r="Z36" s="75">
        <v>0.99750000000000005</v>
      </c>
      <c r="AA36" s="81">
        <v>0.95</v>
      </c>
      <c r="AB36" s="83">
        <v>0.97440000000000004</v>
      </c>
      <c r="AD36" s="75">
        <v>1</v>
      </c>
      <c r="AE36" s="81">
        <v>0.98</v>
      </c>
      <c r="AF36" s="83">
        <v>0.9899</v>
      </c>
      <c r="AH36" s="75">
        <v>0.99860000000000004</v>
      </c>
      <c r="AI36" s="81">
        <v>0.89</v>
      </c>
      <c r="AJ36" s="83">
        <v>0.94179999999999997</v>
      </c>
      <c r="AL36" s="75">
        <v>0.99970000000000003</v>
      </c>
      <c r="AM36" s="81">
        <v>0.96</v>
      </c>
      <c r="AN36" s="83">
        <v>0.97960000000000003</v>
      </c>
      <c r="AP36" s="75">
        <v>0.99360000000000004</v>
      </c>
      <c r="AQ36" s="81">
        <v>0.9</v>
      </c>
      <c r="AR36" s="83">
        <v>0.94740000000000002</v>
      </c>
      <c r="AT36" s="75">
        <v>0.99880000000000002</v>
      </c>
      <c r="AU36" s="81">
        <v>0.94</v>
      </c>
      <c r="AV36" s="83">
        <v>0.96909999999999996</v>
      </c>
      <c r="AX36" s="75">
        <v>1</v>
      </c>
      <c r="AY36" s="81">
        <v>0.96</v>
      </c>
      <c r="AZ36" s="83">
        <v>0.97960000000000003</v>
      </c>
    </row>
    <row r="37" spans="1:52" ht="16.8" x14ac:dyDescent="0.3">
      <c r="B37" s="86" t="s">
        <v>11</v>
      </c>
      <c r="C37" s="78">
        <f>D34/D37-1</f>
        <v>1.0190191604918328</v>
      </c>
      <c r="D37" s="29">
        <f>(N37+R37+V37+Z37+AD37+AH37+AL37+AP37+AT37+AX37)/10</f>
        <v>0.49529000000000006</v>
      </c>
      <c r="E37" s="29">
        <f>SQRT(((N37-D37)^2+(R37-D37)^2+(V37-D37)^2+(Z37-D37)^2+(AD37-D37)^2+(AH37-D37)^2+(AL37-D37)^2+(AP37-D37)^2+(AT37-D37)^2+(AX37-D37)^2)/10)</f>
        <v>6.9659664799652882E-2</v>
      </c>
      <c r="F37" s="79">
        <f>E37/D37</f>
        <v>0.14064419794393765</v>
      </c>
      <c r="G37" s="15">
        <f>(O37+S37+W37+AA37+AE37+AI37+AM37+AQ37+AU37+AY37)/10</f>
        <v>0.51700000000000013</v>
      </c>
      <c r="H37" s="25">
        <f>SQRT(((O37-G37)^2+(S37-G37)^2+(W37-G37)^2+(AA37-G37)^2+(AE37-G37)^2+(AI37-G37)^2+(AM37-G37)^2+(AQ37-G37)^2+(AU37-G37)^2+(AY37-G37)^2)/10)</f>
        <v>4.4056781543821401E-2</v>
      </c>
      <c r="I37" s="31">
        <f>H37/G37</f>
        <v>8.5216211883600373E-2</v>
      </c>
      <c r="J37" s="25">
        <f>(P37+T37+X37+AB37+AF37+AJ37+AN37+AR37+AV37+AZ37)/10</f>
        <v>0.47686000000000001</v>
      </c>
      <c r="K37" s="25">
        <f>SQRT(((P37-J37)^2+(T37-J37)^2+(X37-J37)^2+(AB37-J37)^2+(AF37-J37)^2+(AJ37-J37)^2+(AN37-J37)^2+(AR37-J37)^2+(AV37-J37)^2+(AZ37-J37)^2)/10)</f>
        <v>3.2867071667551997E-2</v>
      </c>
      <c r="L37" s="31">
        <f>K37/J37</f>
        <v>6.8923943437386226E-2</v>
      </c>
      <c r="N37" s="75">
        <v>0.46239999999999998</v>
      </c>
      <c r="O37" s="81">
        <v>0.55000000000000004</v>
      </c>
      <c r="P37" s="25">
        <v>0.4955</v>
      </c>
      <c r="R37" s="75">
        <v>0.6069</v>
      </c>
      <c r="S37" s="81">
        <v>0.5</v>
      </c>
      <c r="T37" s="83">
        <v>0.49080000000000001</v>
      </c>
      <c r="V37" s="75">
        <v>0.63319999999999999</v>
      </c>
      <c r="W37" s="81">
        <v>0.42</v>
      </c>
      <c r="X37" s="83">
        <v>0.4</v>
      </c>
      <c r="Z37" s="75">
        <v>0.46829999999999999</v>
      </c>
      <c r="AA37" s="81">
        <v>0.56000000000000005</v>
      </c>
      <c r="AB37" s="83">
        <v>0.49559999999999998</v>
      </c>
      <c r="AD37" s="75">
        <v>0.52900000000000003</v>
      </c>
      <c r="AE37" s="81">
        <v>0.56000000000000005</v>
      </c>
      <c r="AF37" s="83">
        <v>0.49340000000000001</v>
      </c>
      <c r="AH37" s="75">
        <v>0.46450000000000002</v>
      </c>
      <c r="AI37" s="81">
        <v>0.52</v>
      </c>
      <c r="AJ37" s="83">
        <v>0.48599999999999999</v>
      </c>
      <c r="AL37" s="75">
        <v>0.42849999999999999</v>
      </c>
      <c r="AM37" s="81">
        <v>0.55000000000000004</v>
      </c>
      <c r="AN37" s="83">
        <v>0.50929999999999997</v>
      </c>
      <c r="AO37" s="34"/>
      <c r="AP37" s="84">
        <v>0.49509999999999998</v>
      </c>
      <c r="AQ37" s="85">
        <v>0.48</v>
      </c>
      <c r="AR37" s="83">
        <v>0.45929999999999999</v>
      </c>
      <c r="AT37" s="75">
        <v>0.41239999999999999</v>
      </c>
      <c r="AU37" s="81">
        <v>0.48</v>
      </c>
      <c r="AV37" s="83">
        <v>0.43640000000000001</v>
      </c>
      <c r="AX37" s="75">
        <v>0.4526</v>
      </c>
      <c r="AY37" s="81">
        <v>0.55000000000000004</v>
      </c>
      <c r="AZ37" s="83">
        <v>0.50229999999999997</v>
      </c>
    </row>
  </sheetData>
  <mergeCells count="110">
    <mergeCell ref="C7:C8"/>
    <mergeCell ref="D7:F7"/>
    <mergeCell ref="G7:I7"/>
    <mergeCell ref="J7:L7"/>
    <mergeCell ref="N7:N8"/>
    <mergeCell ref="O7:P7"/>
    <mergeCell ref="B2:AZ2"/>
    <mergeCell ref="B3:AZ3"/>
    <mergeCell ref="N5:AZ5"/>
    <mergeCell ref="G6:K6"/>
    <mergeCell ref="N6:P6"/>
    <mergeCell ref="R6:T6"/>
    <mergeCell ref="V6:X6"/>
    <mergeCell ref="Z6:AB6"/>
    <mergeCell ref="AD6:AF6"/>
    <mergeCell ref="AH6:AJ6"/>
    <mergeCell ref="R7:R8"/>
    <mergeCell ref="S7:T7"/>
    <mergeCell ref="V7:V8"/>
    <mergeCell ref="W7:X7"/>
    <mergeCell ref="Z7:Z8"/>
    <mergeCell ref="AA7:AB7"/>
    <mergeCell ref="AL6:AN6"/>
    <mergeCell ref="AP6:AR6"/>
    <mergeCell ref="AT6:AV6"/>
    <mergeCell ref="AP7:AP8"/>
    <mergeCell ref="AQ7:AR7"/>
    <mergeCell ref="AT7:AT8"/>
    <mergeCell ref="AU7:AV7"/>
    <mergeCell ref="AX7:AX8"/>
    <mergeCell ref="AY7:AZ7"/>
    <mergeCell ref="AD7:AD8"/>
    <mergeCell ref="AE7:AF7"/>
    <mergeCell ref="AH7:AH8"/>
    <mergeCell ref="AI7:AJ7"/>
    <mergeCell ref="AL7:AL8"/>
    <mergeCell ref="AM7:AN7"/>
    <mergeCell ref="AX6:AZ6"/>
    <mergeCell ref="R15:R16"/>
    <mergeCell ref="S15:T15"/>
    <mergeCell ref="V15:V16"/>
    <mergeCell ref="W15:X15"/>
    <mergeCell ref="Z15:Z16"/>
    <mergeCell ref="AA15:AB15"/>
    <mergeCell ref="C15:C16"/>
    <mergeCell ref="D15:F15"/>
    <mergeCell ref="G15:I15"/>
    <mergeCell ref="J15:L15"/>
    <mergeCell ref="N15:N16"/>
    <mergeCell ref="O15:P15"/>
    <mergeCell ref="AP15:AP16"/>
    <mergeCell ref="AQ15:AR15"/>
    <mergeCell ref="AT15:AT16"/>
    <mergeCell ref="AU15:AV15"/>
    <mergeCell ref="AX15:AX16"/>
    <mergeCell ref="AY15:AZ15"/>
    <mergeCell ref="AD15:AD16"/>
    <mergeCell ref="AE15:AF15"/>
    <mergeCell ref="AH15:AH16"/>
    <mergeCell ref="AI15:AJ15"/>
    <mergeCell ref="AL15:AL16"/>
    <mergeCell ref="AM15:AN15"/>
    <mergeCell ref="R23:R24"/>
    <mergeCell ref="S23:T23"/>
    <mergeCell ref="V23:V24"/>
    <mergeCell ref="W23:X23"/>
    <mergeCell ref="Z23:Z24"/>
    <mergeCell ref="AA23:AB23"/>
    <mergeCell ref="C23:C24"/>
    <mergeCell ref="D23:F23"/>
    <mergeCell ref="G23:I23"/>
    <mergeCell ref="J23:L23"/>
    <mergeCell ref="N23:N24"/>
    <mergeCell ref="O23:P23"/>
    <mergeCell ref="AP23:AP24"/>
    <mergeCell ref="AQ23:AR23"/>
    <mergeCell ref="AT23:AT24"/>
    <mergeCell ref="AU23:AV23"/>
    <mergeCell ref="AX23:AX24"/>
    <mergeCell ref="AY23:AZ23"/>
    <mergeCell ref="AD23:AD24"/>
    <mergeCell ref="AE23:AF23"/>
    <mergeCell ref="AH23:AH24"/>
    <mergeCell ref="AI23:AJ23"/>
    <mergeCell ref="AL23:AL24"/>
    <mergeCell ref="AM23:AN23"/>
    <mergeCell ref="R31:R32"/>
    <mergeCell ref="S31:T31"/>
    <mergeCell ref="V31:V32"/>
    <mergeCell ref="W31:X31"/>
    <mergeCell ref="Z31:Z32"/>
    <mergeCell ref="AA31:AB31"/>
    <mergeCell ref="C31:C32"/>
    <mergeCell ref="D31:F31"/>
    <mergeCell ref="G31:I31"/>
    <mergeCell ref="J31:L31"/>
    <mergeCell ref="N31:N32"/>
    <mergeCell ref="O31:P31"/>
    <mergeCell ref="AP31:AP32"/>
    <mergeCell ref="AQ31:AR31"/>
    <mergeCell ref="AT31:AT32"/>
    <mergeCell ref="AU31:AV31"/>
    <mergeCell ref="AX31:AX32"/>
    <mergeCell ref="AY31:AZ31"/>
    <mergeCell ref="AD31:AD32"/>
    <mergeCell ref="AE31:AF31"/>
    <mergeCell ref="AH31:AH32"/>
    <mergeCell ref="AI31:AJ31"/>
    <mergeCell ref="AL31:AL32"/>
    <mergeCell ref="AM31:AN31"/>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6453-3E78-4A5E-A393-A5A0C9577D67}">
  <dimension ref="A1:AZ37"/>
  <sheetViews>
    <sheetView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65.400000000000006" customHeight="1" x14ac:dyDescent="0.3">
      <c r="B2" s="164" t="s">
        <v>68</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36" customHeight="1" x14ac:dyDescent="0.3">
      <c r="B3" s="164" t="s">
        <v>69</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0.5</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3.9208222306813756E-2</v>
      </c>
      <c r="D9" s="29">
        <f>(N9+R9+V9+Z9+AD9+AH9+AL9+AP9+AT9+AX9)/10</f>
        <v>0.55166999999999999</v>
      </c>
      <c r="E9" s="29">
        <f>SQRT(((N9-D9)^2+(R9-D9)^2+(V9-D9)^2+(Z9-D9)^2+(AD9-D9)^2+(AH9-D9)^2+(AL9-D9)^2+(AP9-D9)^2+(AT9-D9)^2+(AX9-D9)^2)/10)</f>
        <v>3.2177787369550544E-3</v>
      </c>
      <c r="F9" s="79">
        <f>E9/D9</f>
        <v>5.8327963038683536E-3</v>
      </c>
      <c r="G9" s="15">
        <f>(O9+S9+W9+AA9+AE9+AI9+AM9+AQ9+AU9+AY9)/10</f>
        <v>0.44300000000000006</v>
      </c>
      <c r="H9" s="25">
        <f>SQRT(((O9-G9)^2+(S9-G9)^2+(W9-G9)^2+(AA9-G9)^2+(AE9-G9)^2+(AI9-G9)^2+(AM9-G9)^2+(AQ9-G9)^2+(AU9-G9)^2+(AY9-G9)^2)/10)</f>
        <v>1.100000000000001E-2</v>
      </c>
      <c r="I9" s="31">
        <f>H9/G9</f>
        <v>2.4830699774266385E-2</v>
      </c>
      <c r="J9" s="25">
        <f>(P9+T9+X9+AB9+AF9+AJ9+AN9+AR9+AV9+AZ9)/10</f>
        <v>0.48331000000000002</v>
      </c>
      <c r="K9" s="25">
        <f>SQRT(((P9-J9)^2+(T9-J9)^2+(X9-J9)^2+(AB9-J9)^2+(AF9-J9)^2+(AJ9-J9)^2+(AN9-J9)^2+(AR9-J9)^2+(AV9-J9)^2+(AZ9-J9)^2)/10)</f>
        <v>7.1832374316877457E-3</v>
      </c>
      <c r="L9" s="31">
        <f>K9/J9</f>
        <v>1.4862588052570288E-2</v>
      </c>
      <c r="N9" s="75">
        <v>0.55320000000000003</v>
      </c>
      <c r="O9" s="81">
        <v>0.44</v>
      </c>
      <c r="P9" s="25">
        <v>0.4783</v>
      </c>
      <c r="R9" s="75">
        <v>0.55420000000000003</v>
      </c>
      <c r="S9" s="81">
        <v>0.44</v>
      </c>
      <c r="T9" s="25">
        <v>0.48349999999999999</v>
      </c>
      <c r="V9" s="75">
        <v>0.54859999999999998</v>
      </c>
      <c r="W9" s="81">
        <v>0.46</v>
      </c>
      <c r="X9" s="25">
        <v>0.49459999999999998</v>
      </c>
      <c r="Z9" s="75">
        <v>0.55449999999999999</v>
      </c>
      <c r="AA9" s="81">
        <v>0.44</v>
      </c>
      <c r="AB9" s="25">
        <v>0.48620000000000002</v>
      </c>
      <c r="AD9" s="75">
        <v>0.54859999999999998</v>
      </c>
      <c r="AE9" s="81">
        <v>0.46</v>
      </c>
      <c r="AF9" s="25">
        <v>0.49459999999999998</v>
      </c>
      <c r="AH9" s="75">
        <v>0.55420000000000003</v>
      </c>
      <c r="AI9" s="81">
        <v>0.44</v>
      </c>
      <c r="AJ9" s="25">
        <v>0.48349999999999999</v>
      </c>
      <c r="AL9" s="75">
        <v>0.5554</v>
      </c>
      <c r="AM9" s="81">
        <v>0.44</v>
      </c>
      <c r="AN9" s="25">
        <v>0.48089999999999999</v>
      </c>
      <c r="AP9" s="75">
        <v>0.54530000000000001</v>
      </c>
      <c r="AQ9" s="81">
        <v>0.42</v>
      </c>
      <c r="AR9" s="25">
        <v>0.46929999999999999</v>
      </c>
      <c r="AT9" s="75">
        <v>0.54949999999999999</v>
      </c>
      <c r="AU9" s="81">
        <v>0.45</v>
      </c>
      <c r="AV9" s="25">
        <v>0.4839</v>
      </c>
      <c r="AX9" s="75">
        <v>0.55320000000000003</v>
      </c>
      <c r="AY9" s="81">
        <v>0.44</v>
      </c>
      <c r="AZ9" s="25">
        <v>0.4783</v>
      </c>
    </row>
    <row r="10" spans="1:52" ht="37.799999999999997" customHeight="1" x14ac:dyDescent="0.3">
      <c r="A10" s="7"/>
      <c r="B10" s="86" t="s">
        <v>17</v>
      </c>
      <c r="C10" s="80"/>
      <c r="D10" s="29">
        <f>(N10+R10+V10+Z10+AD10+AH10+AL10+AP10+AT10+AX10)/10</f>
        <v>0.57329999999999992</v>
      </c>
      <c r="E10" s="29">
        <f>SQRT(((N10-D10)^2+(R10-D10)^2+(V10-D10)^2+(Z10-D10)^2+(AD10-D10)^2+(AH10-D10)^2+(AL10-D10)^2+(AP10-D10)^2+(AT10-D10)^2+(AX10-D10)^2)/10)</f>
        <v>1.8746733048720786E-2</v>
      </c>
      <c r="F10" s="79">
        <f>E10/D10</f>
        <v>3.2699691346102892E-2</v>
      </c>
      <c r="G10" s="15">
        <f>(O10+S10+W10+AA10+AE10+AI10+AM10+AQ10+AU10+AY10)/10</f>
        <v>0.5109999999999999</v>
      </c>
      <c r="H10" s="25">
        <f>SQRT(((O10-G10)^2+(S10-G10)^2+(W10-G10)^2+(AA10-G10)^2+(AE10-G10)^2+(AI10-G10)^2+(AM10-G10)^2+(AQ10-G10)^2+(AU10-G10)^2+(AY10-G10)^2)/10)</f>
        <v>2.2113344387496001E-2</v>
      </c>
      <c r="I10" s="62">
        <f>H10/G10</f>
        <v>4.3274646550872806E-2</v>
      </c>
      <c r="J10" s="25">
        <f>(P10+T10+X10+AB10+AF10+AJ10+AN10+AR10+AV10+AZ10)/10</f>
        <v>0.53384999999999994</v>
      </c>
      <c r="K10" s="25">
        <f>SQRT(((P10-J10)^2+(T10-J10)^2+(X10-J10)^2+(AB10-J10)^2+(AF10-J10)^2+(AJ10-J10)^2+(AN10-J10)^2+(AR10-J10)^2+(AV10-J10)^2+(AZ10-J10)^2)/10)</f>
        <v>1.9557619998353582E-2</v>
      </c>
      <c r="L10" s="62">
        <f>K10/J10</f>
        <v>3.6635047294846089E-2</v>
      </c>
      <c r="N10" s="75">
        <v>0.56879999999999997</v>
      </c>
      <c r="O10" s="25">
        <v>0.55000000000000004</v>
      </c>
      <c r="P10" s="25">
        <v>0.56410000000000005</v>
      </c>
      <c r="R10" s="75">
        <v>0.57850000000000001</v>
      </c>
      <c r="S10" s="81">
        <v>0.53</v>
      </c>
      <c r="T10" s="25">
        <v>0.54920000000000002</v>
      </c>
      <c r="V10" s="75">
        <v>0.5806</v>
      </c>
      <c r="W10" s="81">
        <v>0.5</v>
      </c>
      <c r="X10" s="25">
        <v>0.52659999999999996</v>
      </c>
      <c r="Z10" s="75">
        <v>0.57299999999999995</v>
      </c>
      <c r="AA10" s="81">
        <v>0.49</v>
      </c>
      <c r="AB10" s="25">
        <v>0.51280000000000003</v>
      </c>
      <c r="AD10" s="75">
        <v>0.60389999999999999</v>
      </c>
      <c r="AE10" s="81">
        <v>0.5</v>
      </c>
      <c r="AF10" s="25">
        <v>0.52910000000000001</v>
      </c>
      <c r="AH10" s="75">
        <v>0.57350000000000001</v>
      </c>
      <c r="AI10" s="81">
        <v>0.52</v>
      </c>
      <c r="AJ10" s="25">
        <v>0.54449999999999998</v>
      </c>
      <c r="AL10" s="75">
        <v>0.59409999999999996</v>
      </c>
      <c r="AM10" s="81">
        <v>0.54</v>
      </c>
      <c r="AN10" s="25">
        <v>0.56540000000000001</v>
      </c>
      <c r="AP10" s="75">
        <v>0.52949999999999997</v>
      </c>
      <c r="AQ10" s="81">
        <v>0.49</v>
      </c>
      <c r="AR10" s="25">
        <v>0.51580000000000004</v>
      </c>
      <c r="AT10" s="75">
        <v>0.56730000000000003</v>
      </c>
      <c r="AU10" s="81">
        <v>0.48</v>
      </c>
      <c r="AV10" s="25">
        <v>0.51060000000000005</v>
      </c>
      <c r="AX10" s="75">
        <v>0.56379999999999997</v>
      </c>
      <c r="AY10" s="81">
        <v>0.51</v>
      </c>
      <c r="AZ10" s="25">
        <v>0.52039999999999997</v>
      </c>
    </row>
    <row r="11" spans="1:52" ht="18" customHeight="1" x14ac:dyDescent="0.3">
      <c r="A11" s="7"/>
      <c r="B11" s="86" t="s">
        <v>5</v>
      </c>
      <c r="C11" s="78">
        <f>D10/D11-1</f>
        <v>5.0134632645210786E-2</v>
      </c>
      <c r="D11" s="29">
        <f>(N11+R11+V11+Z11+AD11+AH11+AL11+AP11+AT11+AX11)/10</f>
        <v>0.54593000000000003</v>
      </c>
      <c r="E11" s="29">
        <f>SQRT(((N11-D11)^2+(R11-D11)^2+(V11-D11)^2+(Z11-D11)^2+(AD11-D11)^2+(AH11-D11)^2+(AL11-D11)^2+(AP11-D11)^2+(AT11-D11)^2+(AX11-D11)^2)/10)</f>
        <v>2.593303106079195E-2</v>
      </c>
      <c r="F11" s="79">
        <f>E11/D11</f>
        <v>4.7502483946278734E-2</v>
      </c>
      <c r="G11" s="15">
        <f>(O11+S11+W11+AA11+AE11+AI11+AM11+AQ11+AU11+AY11)/10</f>
        <v>0.4539999999999999</v>
      </c>
      <c r="H11" s="25">
        <f>SQRT(((O11-G11)^2+(S11-G11)^2+(W11-G11)^2+(AA11-G11)^2+(AE11-G11)^2+(AI11-G11)^2+(AM11-G11)^2+(AQ11-G11)^2+(AU11-G11)^2+(AY11-G11)^2)/10)</f>
        <v>4.0792156108742275E-2</v>
      </c>
      <c r="I11" s="31">
        <f>H11/G11</f>
        <v>8.9850564116172427E-2</v>
      </c>
      <c r="J11" s="25">
        <f>(P11+T11+X11+AB11+AF11+AJ11+AN11+AR11+AV11+AZ11)/10</f>
        <v>0.48775000000000002</v>
      </c>
      <c r="K11" s="25">
        <f>SQRT(((P11-J11)^2+(T11-J11)^2+(X11-J11)^2+(AB11-J11)^2+(AF11-J11)^2+(AJ11-J11)^2+(AN11-J11)^2+(AR11-J11)^2+(AV11-J11)^2+(AZ11-J11)^2)/10)</f>
        <v>3.2761295761920044E-2</v>
      </c>
      <c r="L11" s="31">
        <f>K11/J11</f>
        <v>6.7168212735868871E-2</v>
      </c>
      <c r="N11" s="75">
        <v>0.56759999999999999</v>
      </c>
      <c r="O11" s="25">
        <v>0.5</v>
      </c>
      <c r="P11" s="25">
        <v>0.51019999999999999</v>
      </c>
      <c r="R11" s="75">
        <v>0.56079999999999997</v>
      </c>
      <c r="S11" s="81">
        <v>0.48</v>
      </c>
      <c r="T11" s="82">
        <v>0.51060000000000005</v>
      </c>
      <c r="V11" s="75">
        <v>0.55179999999999996</v>
      </c>
      <c r="W11" s="81">
        <v>0.46</v>
      </c>
      <c r="X11" s="82">
        <v>0.49730000000000002</v>
      </c>
      <c r="Z11" s="75">
        <v>0.54520000000000002</v>
      </c>
      <c r="AA11" s="81">
        <v>0.48</v>
      </c>
      <c r="AB11" s="82">
        <v>0.51060000000000005</v>
      </c>
      <c r="AD11" s="75">
        <v>0.5091</v>
      </c>
      <c r="AE11" s="81">
        <v>0.46</v>
      </c>
      <c r="AF11" s="82">
        <v>0.47920000000000001</v>
      </c>
      <c r="AH11" s="75">
        <v>0.54349999999999998</v>
      </c>
      <c r="AI11" s="81">
        <v>0.5</v>
      </c>
      <c r="AJ11" s="82">
        <v>0.52910000000000001</v>
      </c>
      <c r="AL11" s="75">
        <v>0.53769999999999996</v>
      </c>
      <c r="AM11" s="81">
        <v>0.42</v>
      </c>
      <c r="AN11" s="82">
        <v>0.47189999999999999</v>
      </c>
      <c r="AP11" s="75">
        <v>0.5776</v>
      </c>
      <c r="AQ11" s="81">
        <v>0.38</v>
      </c>
      <c r="AR11" s="82">
        <v>0.43430000000000002</v>
      </c>
      <c r="AT11" s="75">
        <v>0.57320000000000004</v>
      </c>
      <c r="AU11" s="81">
        <v>0.47</v>
      </c>
      <c r="AV11" s="82">
        <v>0.5081</v>
      </c>
      <c r="AX11" s="75">
        <v>0.49280000000000002</v>
      </c>
      <c r="AY11" s="81">
        <v>0.39</v>
      </c>
      <c r="AZ11" s="82">
        <v>0.42620000000000002</v>
      </c>
    </row>
    <row r="12" spans="1:52" ht="18" customHeight="1" x14ac:dyDescent="0.3">
      <c r="A12" s="7"/>
      <c r="B12" s="86" t="s">
        <v>1</v>
      </c>
      <c r="C12" s="78">
        <f>D10/D12-1</f>
        <v>0.11339845798294834</v>
      </c>
      <c r="D12" s="29">
        <f>(N12+R12+V12+Z12+AD12+AH12+AL12+AP12+AT12+AX12)/10</f>
        <v>0.51490999999999998</v>
      </c>
      <c r="E12" s="29">
        <f>SQRT(((N12-D12)^2+(R12-D12)^2+(V12-D12)^2+(Z12-D12)^2+(AD12-D12)^2+(AH12-D12)^2+(AL12-D12)^2+(AP12-D12)^2+(AT12-D12)^2+(AX12-D12)^2)/10)</f>
        <v>2.7687522460487498E-2</v>
      </c>
      <c r="F12" s="79">
        <f>E12/D12</f>
        <v>5.3771576509462814E-2</v>
      </c>
      <c r="G12" s="15">
        <f>(O12+S12+W12+AA12+AE12+AI12+AM12+AQ12+AU12+AY12)/10</f>
        <v>0.47499999999999998</v>
      </c>
      <c r="H12" s="25">
        <f>SQRT(((O12-G12)^2+(S12-G12)^2+(W12-G12)^2+(AA12-G12)^2+(AE12-G12)^2+(AI12-G12)^2+(AM12-G12)^2+(AQ12-G12)^2+(AU12-G12)^2+(AY12-G12)^2)/10)</f>
        <v>3.7749172176353762E-2</v>
      </c>
      <c r="I12" s="31">
        <f>H12/G12</f>
        <v>7.9471941423902667E-2</v>
      </c>
      <c r="J12" s="25">
        <f>(P12+T12+X12+AB12+AF12+AJ12+AN12+AR12+AV12+AZ12)/10</f>
        <v>0.47674000000000005</v>
      </c>
      <c r="K12" s="25">
        <f>SQRT(((P12-J12)^2+(T12-J12)^2+(X12-J12)^2+(AB12-J12)^2+(AF12-J12)^2+(AJ12-J12)^2+(AN12-J12)^2+(AR12-J12)^2+(AV12-J12)^2+(AZ12-J12)^2)/10)</f>
        <v>3.0325045754293595E-2</v>
      </c>
      <c r="L12" s="31">
        <f>K12/J12</f>
        <v>6.3609191077513089E-2</v>
      </c>
      <c r="N12" s="75">
        <v>0.52729999999999999</v>
      </c>
      <c r="O12" s="25">
        <v>0.45</v>
      </c>
      <c r="P12" s="25">
        <v>0.4592</v>
      </c>
      <c r="R12" s="75">
        <v>0.54169999999999996</v>
      </c>
      <c r="S12" s="81">
        <v>0.5</v>
      </c>
      <c r="T12" s="83">
        <v>0.51280000000000003</v>
      </c>
      <c r="V12" s="75">
        <v>0.49609999999999999</v>
      </c>
      <c r="W12" s="81">
        <v>0.44</v>
      </c>
      <c r="X12" s="83">
        <v>0.44440000000000002</v>
      </c>
      <c r="Z12" s="75">
        <v>0.44969999999999999</v>
      </c>
      <c r="AA12" s="81">
        <v>0.44</v>
      </c>
      <c r="AB12" s="83">
        <v>0.4607</v>
      </c>
      <c r="AD12" s="75">
        <v>0.50319999999999998</v>
      </c>
      <c r="AE12" s="81">
        <v>0.41</v>
      </c>
      <c r="AF12" s="83">
        <v>0.41839999999999999</v>
      </c>
      <c r="AH12" s="75">
        <v>0.50319999999999998</v>
      </c>
      <c r="AI12" s="81">
        <v>0.52</v>
      </c>
      <c r="AJ12" s="83">
        <v>0.51229999999999998</v>
      </c>
      <c r="AL12" s="75">
        <v>0.51580000000000004</v>
      </c>
      <c r="AM12" s="81">
        <v>0.53</v>
      </c>
      <c r="AN12" s="83">
        <v>0.5121</v>
      </c>
      <c r="AP12" s="75">
        <v>0.55369999999999997</v>
      </c>
      <c r="AQ12" s="81">
        <v>0.47</v>
      </c>
      <c r="AR12" s="83">
        <v>0.47239999999999999</v>
      </c>
      <c r="AT12" s="75">
        <v>0.52869999999999995</v>
      </c>
      <c r="AU12" s="81">
        <v>0.51</v>
      </c>
      <c r="AV12" s="83">
        <v>0.49509999999999998</v>
      </c>
      <c r="AX12" s="75">
        <v>0.52969999999999995</v>
      </c>
      <c r="AY12" s="81">
        <v>0.48</v>
      </c>
      <c r="AZ12" s="83">
        <v>0.48</v>
      </c>
    </row>
    <row r="13" spans="1:52" ht="18" customHeight="1" x14ac:dyDescent="0.3">
      <c r="A13" s="7"/>
      <c r="B13" s="86" t="s">
        <v>11</v>
      </c>
      <c r="C13" s="78">
        <f>D10/D13-1</f>
        <v>7.2250173003908902E-2</v>
      </c>
      <c r="D13" s="29">
        <f>(N13+R13+V13+Z13+AD13+AH13+AL13+AP13+AT13+AX13)/10</f>
        <v>0.53466999999999998</v>
      </c>
      <c r="E13" s="29">
        <f>SQRT(((N13-D13)^2+(R13-D13)^2+(V13-D13)^2+(Z13-D13)^2+(AD13-D13)^2+(AH13-D13)^2+(AL13-D13)^2+(AP13-D13)^2+(AT13-D13)^2+(AX13-D13)^2)/10)</f>
        <v>1.5332582952653481E-2</v>
      </c>
      <c r="F13" s="79">
        <f>E13/D13</f>
        <v>2.8676722001708496E-2</v>
      </c>
      <c r="G13" s="15">
        <f>(O13+S13+W13+AA13+AE13+AI13+AM13+AQ13+AU13+AY13)/10</f>
        <v>0.48099999999999998</v>
      </c>
      <c r="H13" s="25">
        <f>SQRT(((O13-G13)^2+(S13-G13)^2+(W13-G13)^2+(AA13-G13)^2+(AE13-G13)^2+(AI13-G13)^2+(AM13-G13)^2+(AQ13-G13)^2+(AU13-G13)^2+(AY13-G13)^2)/10)</f>
        <v>3.6180105030251097E-2</v>
      </c>
      <c r="I13" s="31">
        <f>H13/G13</f>
        <v>7.5218513576405605E-2</v>
      </c>
      <c r="J13" s="25">
        <f>(P13+T13+X13+AB13+AF13+AJ13+AN13+AR13+AV13+AZ13)/10</f>
        <v>0.48773</v>
      </c>
      <c r="K13" s="25">
        <f>SQRT(((P13-J13)^2+(T13-J13)^2+(X13-J13)^2+(AB13-J13)^2+(AF13-J13)^2+(AJ13-J13)^2+(AN13-J13)^2+(AR13-J13)^2+(AV13-J13)^2+(AZ13-J13)^2)/10)</f>
        <v>2.4504613851272984E-2</v>
      </c>
      <c r="L13" s="31">
        <f>K13/J13</f>
        <v>5.0242170568291854E-2</v>
      </c>
      <c r="N13" s="75">
        <v>0.54269999999999996</v>
      </c>
      <c r="O13" s="81">
        <v>0.41</v>
      </c>
      <c r="P13" s="25">
        <v>0.4481</v>
      </c>
      <c r="R13" s="75">
        <v>0.53390000000000004</v>
      </c>
      <c r="S13" s="81">
        <v>0.5</v>
      </c>
      <c r="T13" s="83">
        <v>0.48</v>
      </c>
      <c r="V13" s="75">
        <v>0.50590000000000002</v>
      </c>
      <c r="W13" s="81">
        <v>0.43</v>
      </c>
      <c r="X13" s="83">
        <v>0.45029999999999998</v>
      </c>
      <c r="Z13" s="75">
        <v>0.52429999999999999</v>
      </c>
      <c r="AA13" s="81">
        <v>0.5</v>
      </c>
      <c r="AB13" s="83">
        <v>0.51019999999999999</v>
      </c>
      <c r="AD13" s="75">
        <v>0.55430000000000001</v>
      </c>
      <c r="AE13" s="81">
        <v>0.54</v>
      </c>
      <c r="AF13" s="83">
        <v>0.52939999999999998</v>
      </c>
      <c r="AH13" s="75">
        <v>0.51359999999999995</v>
      </c>
      <c r="AI13" s="81">
        <v>0.49</v>
      </c>
      <c r="AJ13" s="83">
        <v>0.49490000000000001</v>
      </c>
      <c r="AL13" s="75">
        <v>0.55310000000000004</v>
      </c>
      <c r="AM13" s="81">
        <v>0.47</v>
      </c>
      <c r="AN13" s="83">
        <v>0.47239999999999999</v>
      </c>
      <c r="AO13" s="34"/>
      <c r="AP13" s="84">
        <v>0.53190000000000004</v>
      </c>
      <c r="AQ13" s="85">
        <v>0.49</v>
      </c>
      <c r="AR13" s="83">
        <v>0.49490000000000001</v>
      </c>
      <c r="AT13" s="75">
        <v>0.54049999999999998</v>
      </c>
      <c r="AU13" s="81">
        <v>0.47</v>
      </c>
      <c r="AV13" s="83">
        <v>0.48959999999999998</v>
      </c>
      <c r="AX13" s="75">
        <v>0.54649999999999999</v>
      </c>
      <c r="AY13" s="81">
        <v>0.51</v>
      </c>
      <c r="AZ13" s="83">
        <v>0.50749999999999995</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4.7202131709173978E-2</v>
      </c>
      <c r="D17" s="29">
        <f>(N17+R17+V17+Z17+AD17+AH17+AL17+AP17+AT17+AX17)/10</f>
        <v>0.55166999999999999</v>
      </c>
      <c r="E17" s="29">
        <f>SQRT(((N17-D17)^2+(R17-D17)^2+(V17-D17)^2+(Z17-D17)^2+(AD17-D17)^2+(AH17-D17)^2+(AL17-D17)^2+(AP17-D17)^2+(AT17-D17)^2+(AX17-D17)^2)/10)</f>
        <v>3.2177787369550544E-3</v>
      </c>
      <c r="F17" s="79">
        <f>E17/D17</f>
        <v>5.8327963038683536E-3</v>
      </c>
      <c r="G17" s="15">
        <f>(O17+S17+W17+AA17+AE17+AI17+AM17+AQ17+AU17+AY17)/10</f>
        <v>0.44300000000000006</v>
      </c>
      <c r="H17" s="25">
        <f>SQRT(((O17-G17)^2+(S17-G17)^2+(W17-G17)^2+(AA17-G17)^2+(AE17-G17)^2+(AI17-G17)^2+(AM17-G17)^2+(AQ17-G17)^2+(AU17-G17)^2+(AY17-G17)^2)/10)</f>
        <v>1.100000000000001E-2</v>
      </c>
      <c r="I17" s="31">
        <f>H17/G17</f>
        <v>2.4830699774266385E-2</v>
      </c>
      <c r="J17" s="25">
        <f>(P17+T17+X17+AB17+AF17+AJ17+AN17+AR17+AV17+AZ17)/10</f>
        <v>0.48331000000000002</v>
      </c>
      <c r="K17" s="25">
        <f>SQRT(((P17-J17)^2+(T17-J17)^2+(X17-J17)^2+(AB17-J17)^2+(AF17-J17)^2+(AJ17-J17)^2+(AN17-J17)^2+(AR17-J17)^2+(AV17-J17)^2+(AZ17-J17)^2)/10)</f>
        <v>7.1832374316877457E-3</v>
      </c>
      <c r="L17" s="31">
        <f>K17/J17</f>
        <v>1.4862588052570288E-2</v>
      </c>
      <c r="N17" s="75">
        <v>0.55320000000000003</v>
      </c>
      <c r="O17" s="81">
        <v>0.44</v>
      </c>
      <c r="P17" s="25">
        <v>0.4783</v>
      </c>
      <c r="R17" s="75">
        <v>0.55420000000000003</v>
      </c>
      <c r="S17" s="81">
        <v>0.44</v>
      </c>
      <c r="T17" s="25">
        <v>0.48349999999999999</v>
      </c>
      <c r="V17" s="75">
        <v>0.54859999999999998</v>
      </c>
      <c r="W17" s="81">
        <v>0.46</v>
      </c>
      <c r="X17" s="25">
        <v>0.49459999999999998</v>
      </c>
      <c r="Z17" s="75">
        <v>0.55449999999999999</v>
      </c>
      <c r="AA17" s="81">
        <v>0.44</v>
      </c>
      <c r="AB17" s="25">
        <v>0.48620000000000002</v>
      </c>
      <c r="AD17" s="75">
        <v>0.54859999999999998</v>
      </c>
      <c r="AE17" s="81">
        <v>0.46</v>
      </c>
      <c r="AF17" s="25">
        <v>0.49459999999999998</v>
      </c>
      <c r="AH17" s="75">
        <v>0.55420000000000003</v>
      </c>
      <c r="AI17" s="81">
        <v>0.44</v>
      </c>
      <c r="AJ17" s="25">
        <v>0.48349999999999999</v>
      </c>
      <c r="AL17" s="75">
        <v>0.5554</v>
      </c>
      <c r="AM17" s="81">
        <v>0.44</v>
      </c>
      <c r="AN17" s="25">
        <v>0.48089999999999999</v>
      </c>
      <c r="AP17" s="75">
        <v>0.54530000000000001</v>
      </c>
      <c r="AQ17" s="81">
        <v>0.42</v>
      </c>
      <c r="AR17" s="25">
        <v>0.46929999999999999</v>
      </c>
      <c r="AT17" s="75">
        <v>0.54949999999999999</v>
      </c>
      <c r="AU17" s="81">
        <v>0.45</v>
      </c>
      <c r="AV17" s="25">
        <v>0.4839</v>
      </c>
      <c r="AX17" s="75">
        <v>0.55320000000000003</v>
      </c>
      <c r="AY17" s="81">
        <v>0.44</v>
      </c>
      <c r="AZ17" s="25">
        <v>0.4783</v>
      </c>
    </row>
    <row r="18" spans="1:52" ht="32.4" customHeight="1" x14ac:dyDescent="0.3">
      <c r="A18"/>
      <c r="B18" s="86" t="s">
        <v>44</v>
      </c>
      <c r="C18" s="80"/>
      <c r="D18" s="29">
        <f>(N18+R18+V18+Z18+AD18+AH18+AL18+AP18+AT18+AX18)/10</f>
        <v>0.57770999999999995</v>
      </c>
      <c r="E18" s="29">
        <f>SQRT(((N18-D18)^2+(R18-D18)^2+(V18-D18)^2+(Z18-D18)^2+(AD18-D18)^2+(AH18-D18)^2+(AL18-D18)^2+(AP18-D18)^2+(AT18-D18)^2+(AX18-D18)^2)/10)</f>
        <v>1.7507224223159989E-2</v>
      </c>
      <c r="F18" s="79">
        <f>E18/D18</f>
        <v>3.0304519954925464E-2</v>
      </c>
      <c r="G18" s="18">
        <f>(O18+S18+W18+AA18+AE18+AI18+AM18+AQ18+AU18+AY18)/10</f>
        <v>0.504</v>
      </c>
      <c r="H18" s="64">
        <f>SQRT(((O18-G18)^2+(S18-G18)^2+(W18-G18)^2+(AA18-G18)^2+(AE18-G18)^2+(AI18-G18)^2+(AM18-G18)^2+(AQ18-G18)^2+(AU18-G18)^2+(AY18-G18)^2)/10)</f>
        <v>1.6248076809271934E-2</v>
      </c>
      <c r="I18" s="62">
        <f>H18/G18</f>
        <v>3.2238247637444317E-2</v>
      </c>
      <c r="J18" s="64">
        <f>(P18+T18+X18+AB18+AF18+AJ18+AN18+AR18+AV18+AZ18)/10</f>
        <v>0.5279100000000001</v>
      </c>
      <c r="K18" s="64">
        <f>SQRT(((P18-J18)^2+(T18-J18)^2+(X18-J18)^2+(AB18-J18)^2+(AF18-J18)^2+(AJ18-J18)^2+(AN18-J18)^2+(AR18-J18)^2+(AV18-J18)^2+(AZ18-J18)^2)/10)</f>
        <v>1.1308974312465303E-2</v>
      </c>
      <c r="L18" s="62">
        <f>K18/J18</f>
        <v>2.142216346056203E-2</v>
      </c>
      <c r="N18" s="75">
        <v>0.57769999999999999</v>
      </c>
      <c r="O18" s="81">
        <v>0.51</v>
      </c>
      <c r="P18" s="25">
        <v>0.53120000000000001</v>
      </c>
      <c r="R18" s="75">
        <v>0.60460000000000003</v>
      </c>
      <c r="S18" s="81">
        <v>0.54</v>
      </c>
      <c r="T18" s="25">
        <v>0.55100000000000005</v>
      </c>
      <c r="V18" s="75">
        <v>0.57550000000000001</v>
      </c>
      <c r="W18" s="81">
        <v>0.49</v>
      </c>
      <c r="X18" s="25">
        <v>0.51580000000000004</v>
      </c>
      <c r="Z18" s="75">
        <v>0.58660000000000001</v>
      </c>
      <c r="AA18" s="81">
        <v>0.51</v>
      </c>
      <c r="AB18" s="25">
        <v>0.53680000000000005</v>
      </c>
      <c r="AD18" s="75">
        <v>0.5837</v>
      </c>
      <c r="AE18" s="81">
        <v>0.48</v>
      </c>
      <c r="AF18" s="25">
        <v>0.51890000000000003</v>
      </c>
      <c r="AH18" s="75">
        <v>0.57010000000000005</v>
      </c>
      <c r="AI18" s="81">
        <v>0.5</v>
      </c>
      <c r="AJ18" s="25">
        <v>0.5181</v>
      </c>
      <c r="AL18" s="75">
        <v>0.60550000000000004</v>
      </c>
      <c r="AM18" s="81">
        <v>0.52</v>
      </c>
      <c r="AN18" s="25">
        <v>0.54169999999999996</v>
      </c>
      <c r="AP18" s="75">
        <v>0.56820000000000004</v>
      </c>
      <c r="AQ18" s="81">
        <v>0.49</v>
      </c>
      <c r="AR18" s="25">
        <v>0.51849999999999996</v>
      </c>
      <c r="AT18" s="75">
        <v>0.54810000000000003</v>
      </c>
      <c r="AU18" s="81">
        <v>0.5</v>
      </c>
      <c r="AV18" s="25">
        <v>0.52629999999999999</v>
      </c>
      <c r="AX18" s="75">
        <v>0.55710000000000004</v>
      </c>
      <c r="AY18" s="81">
        <v>0.5</v>
      </c>
      <c r="AZ18" s="25">
        <v>0.52080000000000004</v>
      </c>
    </row>
    <row r="19" spans="1:52" ht="16.8" x14ac:dyDescent="0.3">
      <c r="A19"/>
      <c r="B19" s="86" t="s">
        <v>5</v>
      </c>
      <c r="C19" s="78">
        <f>D18/D19-1</f>
        <v>5.8212591357866161E-2</v>
      </c>
      <c r="D19" s="29">
        <f>(N19+R19+V19+Z19+AD19+AH19+AL19+AP19+AT19+AX19)/10</f>
        <v>0.54593000000000003</v>
      </c>
      <c r="E19" s="29">
        <f>SQRT(((N19-D19)^2+(R19-D19)^2+(V19-D19)^2+(Z19-D19)^2+(AD19-D19)^2+(AH19-D19)^2+(AL19-D19)^2+(AP19-D19)^2+(AT19-D19)^2+(AX19-D19)^2)/10)</f>
        <v>2.593303106079195E-2</v>
      </c>
      <c r="F19" s="79">
        <f>E19/D19</f>
        <v>4.7502483946278734E-2</v>
      </c>
      <c r="G19" s="15">
        <f>(O19+S19+W19+AA19+AE19+AI19+AM19+AQ19+AU19+AY19)/10</f>
        <v>0.4539999999999999</v>
      </c>
      <c r="H19" s="25">
        <f>SQRT(((O19-G19)^2+(S19-G19)^2+(W19-G19)^2+(AA19-G19)^2+(AE19-G19)^2+(AI19-G19)^2+(AM19-G19)^2+(AQ19-G19)^2+(AU19-G19)^2+(AY19-G19)^2)/10)</f>
        <v>4.0792156108742275E-2</v>
      </c>
      <c r="I19" s="31">
        <f>H19/G19</f>
        <v>8.9850564116172427E-2</v>
      </c>
      <c r="J19" s="25">
        <f>(P19+T19+X19+AB19+AF19+AJ19+AN19+AR19+AV19+AZ19)/10</f>
        <v>0.48775000000000002</v>
      </c>
      <c r="K19" s="25">
        <f>SQRT(((P19-J19)^2+(T19-J19)^2+(X19-J19)^2+(AB19-J19)^2+(AF19-J19)^2+(AJ19-J19)^2+(AN19-J19)^2+(AR19-J19)^2+(AV19-J19)^2+(AZ19-J19)^2)/10)</f>
        <v>3.2761295761920044E-2</v>
      </c>
      <c r="L19" s="31">
        <f>K19/J19</f>
        <v>6.7168212735868871E-2</v>
      </c>
      <c r="N19" s="75">
        <v>0.56759999999999999</v>
      </c>
      <c r="O19" s="25">
        <v>0.5</v>
      </c>
      <c r="P19" s="25">
        <v>0.51019999999999999</v>
      </c>
      <c r="R19" s="75">
        <v>0.56079999999999997</v>
      </c>
      <c r="S19" s="81">
        <v>0.48</v>
      </c>
      <c r="T19" s="82">
        <v>0.51060000000000005</v>
      </c>
      <c r="V19" s="75">
        <v>0.55179999999999996</v>
      </c>
      <c r="W19" s="81">
        <v>0.46</v>
      </c>
      <c r="X19" s="82">
        <v>0.49730000000000002</v>
      </c>
      <c r="Z19" s="75">
        <v>0.54520000000000002</v>
      </c>
      <c r="AA19" s="81">
        <v>0.48</v>
      </c>
      <c r="AB19" s="82">
        <v>0.51060000000000005</v>
      </c>
      <c r="AD19" s="75">
        <v>0.5091</v>
      </c>
      <c r="AE19" s="81">
        <v>0.46</v>
      </c>
      <c r="AF19" s="82">
        <v>0.47920000000000001</v>
      </c>
      <c r="AH19" s="75">
        <v>0.54349999999999998</v>
      </c>
      <c r="AI19" s="81">
        <v>0.5</v>
      </c>
      <c r="AJ19" s="82">
        <v>0.52910000000000001</v>
      </c>
      <c r="AL19" s="75">
        <v>0.53769999999999996</v>
      </c>
      <c r="AM19" s="81">
        <v>0.42</v>
      </c>
      <c r="AN19" s="82">
        <v>0.47189999999999999</v>
      </c>
      <c r="AP19" s="75">
        <v>0.5776</v>
      </c>
      <c r="AQ19" s="81">
        <v>0.38</v>
      </c>
      <c r="AR19" s="82">
        <v>0.43430000000000002</v>
      </c>
      <c r="AT19" s="75">
        <v>0.57320000000000004</v>
      </c>
      <c r="AU19" s="81">
        <v>0.47</v>
      </c>
      <c r="AV19" s="82">
        <v>0.5081</v>
      </c>
      <c r="AX19" s="75">
        <v>0.49280000000000002</v>
      </c>
      <c r="AY19" s="81">
        <v>0.39</v>
      </c>
      <c r="AZ19" s="82">
        <v>0.42620000000000002</v>
      </c>
    </row>
    <row r="20" spans="1:52" ht="16.8" x14ac:dyDescent="0.3">
      <c r="A20"/>
      <c r="B20" s="86" t="s">
        <v>1</v>
      </c>
      <c r="C20" s="87">
        <f>D18/D20-1</f>
        <v>0.1219630615058942</v>
      </c>
      <c r="D20" s="29">
        <f>(N20+R20+V20+Z20+AD20+AH20+AL20+AP20+AT20+AX20)/10</f>
        <v>0.51490999999999998</v>
      </c>
      <c r="E20" s="29">
        <f>SQRT(((N20-D20)^2+(R20-D20)^2+(V20-D20)^2+(Z20-D20)^2+(AD20-D20)^2+(AH20-D20)^2+(AL20-D20)^2+(AP20-D20)^2+(AT20-D20)^2+(AX20-D20)^2)/10)</f>
        <v>2.7687522460487498E-2</v>
      </c>
      <c r="F20" s="79">
        <f>E20/D20</f>
        <v>5.3771576509462814E-2</v>
      </c>
      <c r="G20" s="15">
        <f>(O20+S20+W20+AA20+AE20+AI20+AM20+AQ20+AU20+AY20)/10</f>
        <v>0.47499999999999998</v>
      </c>
      <c r="H20" s="25">
        <f>SQRT(((O20-G20)^2+(S20-G20)^2+(W20-G20)^2+(AA20-G20)^2+(AE20-G20)^2+(AI20-G20)^2+(AM20-G20)^2+(AQ20-G20)^2+(AU20-G20)^2+(AY20-G20)^2)/10)</f>
        <v>3.7749172176353762E-2</v>
      </c>
      <c r="I20" s="31">
        <f>H20/G20</f>
        <v>7.9471941423902667E-2</v>
      </c>
      <c r="J20" s="25">
        <f>(P20+T20+X20+AB20+AF20+AJ20+AN20+AR20+AV20+AZ20)/10</f>
        <v>0.47674000000000005</v>
      </c>
      <c r="K20" s="25">
        <f>SQRT(((P20-J20)^2+(T20-J20)^2+(X20-J20)^2+(AB20-J20)^2+(AF20-J20)^2+(AJ20-J20)^2+(AN20-J20)^2+(AR20-J20)^2+(AV20-J20)^2+(AZ20-J20)^2)/10)</f>
        <v>3.0325045754293595E-2</v>
      </c>
      <c r="L20" s="31">
        <f>K20/J20</f>
        <v>6.3609191077513089E-2</v>
      </c>
      <c r="N20" s="75">
        <v>0.52729999999999999</v>
      </c>
      <c r="O20" s="25">
        <v>0.45</v>
      </c>
      <c r="P20" s="25">
        <v>0.4592</v>
      </c>
      <c r="R20" s="75">
        <v>0.54169999999999996</v>
      </c>
      <c r="S20" s="81">
        <v>0.5</v>
      </c>
      <c r="T20" s="83">
        <v>0.51280000000000003</v>
      </c>
      <c r="V20" s="75">
        <v>0.49609999999999999</v>
      </c>
      <c r="W20" s="81">
        <v>0.44</v>
      </c>
      <c r="X20" s="83">
        <v>0.44440000000000002</v>
      </c>
      <c r="Z20" s="75">
        <v>0.44969999999999999</v>
      </c>
      <c r="AA20" s="81">
        <v>0.44</v>
      </c>
      <c r="AB20" s="83">
        <v>0.4607</v>
      </c>
      <c r="AD20" s="75">
        <v>0.50319999999999998</v>
      </c>
      <c r="AE20" s="81">
        <v>0.41</v>
      </c>
      <c r="AF20" s="83">
        <v>0.41839999999999999</v>
      </c>
      <c r="AH20" s="75">
        <v>0.50319999999999998</v>
      </c>
      <c r="AI20" s="81">
        <v>0.52</v>
      </c>
      <c r="AJ20" s="83">
        <v>0.51229999999999998</v>
      </c>
      <c r="AL20" s="75">
        <v>0.51580000000000004</v>
      </c>
      <c r="AM20" s="81">
        <v>0.53</v>
      </c>
      <c r="AN20" s="83">
        <v>0.5121</v>
      </c>
      <c r="AP20" s="75">
        <v>0.55369999999999997</v>
      </c>
      <c r="AQ20" s="81">
        <v>0.47</v>
      </c>
      <c r="AR20" s="83">
        <v>0.47239999999999999</v>
      </c>
      <c r="AT20" s="75">
        <v>0.52869999999999995</v>
      </c>
      <c r="AU20" s="81">
        <v>0.51</v>
      </c>
      <c r="AV20" s="83">
        <v>0.49509999999999998</v>
      </c>
      <c r="AX20" s="75">
        <v>0.52969999999999995</v>
      </c>
      <c r="AY20" s="81">
        <v>0.48</v>
      </c>
      <c r="AZ20" s="83">
        <v>0.48</v>
      </c>
    </row>
    <row r="21" spans="1:52" ht="16.8" x14ac:dyDescent="0.3">
      <c r="A21"/>
      <c r="B21" s="86" t="s">
        <v>11</v>
      </c>
      <c r="C21" s="78">
        <f>D18/D21-1</f>
        <v>8.0498251257785203E-2</v>
      </c>
      <c r="D21" s="29">
        <f>(N21+R21+V21+Z21+AD21+AH21+AL21+AP21+AT21+AX21)/10</f>
        <v>0.53466999999999998</v>
      </c>
      <c r="E21" s="29">
        <f>SQRT(((N21-D21)^2+(R21-D21)^2+(V21-D21)^2+(Z21-D21)^2+(AD21-D21)^2+(AH21-D21)^2+(AL21-D21)^2+(AP21-D21)^2+(AT21-D21)^2+(AX21-D21)^2)/10)</f>
        <v>1.5332582952653481E-2</v>
      </c>
      <c r="F21" s="79">
        <f>E21/D21</f>
        <v>2.8676722001708496E-2</v>
      </c>
      <c r="G21" s="15">
        <f>(O21+S21+W21+AA21+AE21+AI21+AM21+AQ21+AU21+AY21)/10</f>
        <v>0.48099999999999998</v>
      </c>
      <c r="H21" s="25">
        <f>SQRT(((O21-G21)^2+(S21-G21)^2+(W21-G21)^2+(AA21-G21)^2+(AE21-G21)^2+(AI21-G21)^2+(AM21-G21)^2+(AQ21-G21)^2+(AU21-G21)^2+(AY21-G21)^2)/10)</f>
        <v>3.6180105030251097E-2</v>
      </c>
      <c r="I21" s="31">
        <f>H21/G21</f>
        <v>7.5218513576405605E-2</v>
      </c>
      <c r="J21" s="25">
        <f>(P21+T21+X21+AB21+AF21+AJ21+AN21+AR21+AV21+AZ21)/10</f>
        <v>0.48773</v>
      </c>
      <c r="K21" s="25">
        <f>SQRT(((P21-J21)^2+(T21-J21)^2+(X21-J21)^2+(AB21-J21)^2+(AF21-J21)^2+(AJ21-J21)^2+(AN21-J21)^2+(AR21-J21)^2+(AV21-J21)^2+(AZ21-J21)^2)/10)</f>
        <v>2.4504613851272984E-2</v>
      </c>
      <c r="L21" s="31">
        <f>K21/J21</f>
        <v>5.0242170568291854E-2</v>
      </c>
      <c r="N21" s="75">
        <v>0.54269999999999996</v>
      </c>
      <c r="O21" s="81">
        <v>0.41</v>
      </c>
      <c r="P21" s="25">
        <v>0.4481</v>
      </c>
      <c r="R21" s="75">
        <v>0.53390000000000004</v>
      </c>
      <c r="S21" s="81">
        <v>0.5</v>
      </c>
      <c r="T21" s="83">
        <v>0.48</v>
      </c>
      <c r="V21" s="75">
        <v>0.50590000000000002</v>
      </c>
      <c r="W21" s="81">
        <v>0.43</v>
      </c>
      <c r="X21" s="83">
        <v>0.45029999999999998</v>
      </c>
      <c r="Z21" s="75">
        <v>0.52429999999999999</v>
      </c>
      <c r="AA21" s="81">
        <v>0.5</v>
      </c>
      <c r="AB21" s="83">
        <v>0.51019999999999999</v>
      </c>
      <c r="AD21" s="75">
        <v>0.55430000000000001</v>
      </c>
      <c r="AE21" s="81">
        <v>0.54</v>
      </c>
      <c r="AF21" s="83">
        <v>0.52939999999999998</v>
      </c>
      <c r="AH21" s="75">
        <v>0.51359999999999995</v>
      </c>
      <c r="AI21" s="81">
        <v>0.49</v>
      </c>
      <c r="AJ21" s="83">
        <v>0.49490000000000001</v>
      </c>
      <c r="AL21" s="75">
        <v>0.55310000000000004</v>
      </c>
      <c r="AM21" s="81">
        <v>0.47</v>
      </c>
      <c r="AN21" s="83">
        <v>0.47239999999999999</v>
      </c>
      <c r="AO21" s="34"/>
      <c r="AP21" s="84">
        <v>0.53190000000000004</v>
      </c>
      <c r="AQ21" s="85">
        <v>0.49</v>
      </c>
      <c r="AR21" s="83">
        <v>0.49490000000000001</v>
      </c>
      <c r="AT21" s="75">
        <v>0.54049999999999998</v>
      </c>
      <c r="AU21" s="81">
        <v>0.47</v>
      </c>
      <c r="AV21" s="83">
        <v>0.48959999999999998</v>
      </c>
      <c r="AX21" s="75">
        <v>0.54649999999999999</v>
      </c>
      <c r="AY21" s="81">
        <v>0.51</v>
      </c>
      <c r="AZ21" s="83">
        <v>0.50749999999999995</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2.2259684231515031E-2</v>
      </c>
      <c r="D25" s="29">
        <f>(N25+R25+V25+Z25+AD25+AH25+AL25+AP25+AT25+AX25)/10</f>
        <v>0.55166999999999999</v>
      </c>
      <c r="E25" s="29">
        <f>SQRT(((N25-D25)^2+(R25-D25)^2+(V25-D25)^2+(Z25-D25)^2+(AD25-D25)^2+(AH25-D25)^2+(AL25-D25)^2+(AP25-D25)^2+(AT25-D25)^2+(AX25-D25)^2)/10)</f>
        <v>3.2177787369550544E-3</v>
      </c>
      <c r="F25" s="79">
        <f>E25/D25</f>
        <v>5.8327963038683536E-3</v>
      </c>
      <c r="G25" s="15">
        <f>(O25+S25+W25+AA25+AE25+AI25+AM25+AQ25+AU25+AY25)/10</f>
        <v>0.44300000000000006</v>
      </c>
      <c r="H25" s="25">
        <f>SQRT(((O25-G25)^2+(S25-G25)^2+(W25-G25)^2+(AA25-G25)^2+(AE25-G25)^2+(AI25-G25)^2+(AM25-G25)^2+(AQ25-G25)^2+(AU25-G25)^2+(AY25-G25)^2)/10)</f>
        <v>1.100000000000001E-2</v>
      </c>
      <c r="I25" s="31">
        <f>H25/G25</f>
        <v>2.4830699774266385E-2</v>
      </c>
      <c r="J25" s="25">
        <f>(P25+T25+X25+AB25+AF25+AJ25+AN25+AR25+AV25+AZ25)/10</f>
        <v>0.48331000000000002</v>
      </c>
      <c r="K25" s="25">
        <f>SQRT(((P25-J25)^2+(T25-J25)^2+(X25-J25)^2+(AB25-J25)^2+(AF25-J25)^2+(AJ25-J25)^2+(AN25-J25)^2+(AR25-J25)^2+(AV25-J25)^2+(AZ25-J25)^2)/10)</f>
        <v>7.1832374316877457E-3</v>
      </c>
      <c r="L25" s="31">
        <f>K25/J25</f>
        <v>1.4862588052570288E-2</v>
      </c>
      <c r="N25" s="75">
        <v>0.55320000000000003</v>
      </c>
      <c r="O25" s="81">
        <v>0.44</v>
      </c>
      <c r="P25" s="25">
        <v>0.4783</v>
      </c>
      <c r="R25" s="75">
        <v>0.55420000000000003</v>
      </c>
      <c r="S25" s="81">
        <v>0.44</v>
      </c>
      <c r="T25" s="25">
        <v>0.48349999999999999</v>
      </c>
      <c r="V25" s="75">
        <v>0.54859999999999998</v>
      </c>
      <c r="W25" s="81">
        <v>0.46</v>
      </c>
      <c r="X25" s="25">
        <v>0.49459999999999998</v>
      </c>
      <c r="Z25" s="75">
        <v>0.55449999999999999</v>
      </c>
      <c r="AA25" s="81">
        <v>0.44</v>
      </c>
      <c r="AB25" s="25">
        <v>0.48620000000000002</v>
      </c>
      <c r="AD25" s="75">
        <v>0.54859999999999998</v>
      </c>
      <c r="AE25" s="81">
        <v>0.46</v>
      </c>
      <c r="AF25" s="25">
        <v>0.49459999999999998</v>
      </c>
      <c r="AH25" s="75">
        <v>0.55420000000000003</v>
      </c>
      <c r="AI25" s="81">
        <v>0.44</v>
      </c>
      <c r="AJ25" s="25">
        <v>0.48349999999999999</v>
      </c>
      <c r="AL25" s="75">
        <v>0.5554</v>
      </c>
      <c r="AM25" s="81">
        <v>0.44</v>
      </c>
      <c r="AN25" s="25">
        <v>0.48089999999999999</v>
      </c>
      <c r="AP25" s="75">
        <v>0.54530000000000001</v>
      </c>
      <c r="AQ25" s="81">
        <v>0.42</v>
      </c>
      <c r="AR25" s="25">
        <v>0.46929999999999999</v>
      </c>
      <c r="AT25" s="75">
        <v>0.54949999999999999</v>
      </c>
      <c r="AU25" s="81">
        <v>0.45</v>
      </c>
      <c r="AV25" s="25">
        <v>0.4839</v>
      </c>
      <c r="AX25" s="75">
        <v>0.55320000000000003</v>
      </c>
      <c r="AY25" s="81">
        <v>0.44</v>
      </c>
      <c r="AZ25" s="25">
        <v>0.4783</v>
      </c>
    </row>
    <row r="26" spans="1:52" ht="33.6" x14ac:dyDescent="0.3">
      <c r="A26"/>
      <c r="B26" s="86" t="s">
        <v>45</v>
      </c>
      <c r="C26" s="80"/>
      <c r="D26" s="29">
        <f>(N26+R26+V26+Z26+AD26+AH26+AL26+AP26+AT26+AX26)/10</f>
        <v>0.56394999999999995</v>
      </c>
      <c r="E26" s="29">
        <f>SQRT(((N26-D26)^2+(R26-D26)^2+(V26-D26)^2+(Z26-D26)^2+(AD26-D26)^2+(AH26-D26)^2+(AL26-D26)^2+(AP26-D26)^2+(AT26-D26)^2+(AX26-D26)^2)/10)</f>
        <v>1.6006701721466544E-2</v>
      </c>
      <c r="F26" s="79">
        <f>E26/D26</f>
        <v>2.838319305162966E-2</v>
      </c>
      <c r="G26" s="18">
        <f>(O26+S26+W26+AA26+AE26+AI26+AM26+AQ26+AU26+AY26)/10</f>
        <v>0.51600000000000001</v>
      </c>
      <c r="H26" s="64">
        <f>SQRT(((O26-G26)^2+(S26-G26)^2+(W26-G26)^2+(AA26-G26)^2+(AE26-G26)^2+(AI26-G26)^2+(AM26-G26)^2+(AQ26-G26)^2+(AU26-G26)^2+(AY26-G26)^2)/10)</f>
        <v>2.6532998322843199E-2</v>
      </c>
      <c r="I26" s="62">
        <f>H26/G26</f>
        <v>5.1420539385355034E-2</v>
      </c>
      <c r="J26" s="64">
        <f>(P26+T26+X26+AB26+AF26+AJ26+AN26+AR26+AV26+AZ26)/10</f>
        <v>0.53225999999999996</v>
      </c>
      <c r="K26" s="64">
        <f>SQRT(((P26-J26)^2+(T26-J26)^2+(X26-J26)^2+(AB26-J26)^2+(AF26-J26)^2+(AJ26-J26)^2+(AN26-J26)^2+(AR26-J26)^2+(AV26-J26)^2+(AZ26-J26)^2)/10)</f>
        <v>1.9279585057775481E-2</v>
      </c>
      <c r="L26" s="62">
        <f>K26/J26</f>
        <v>3.6222118997812129E-2</v>
      </c>
      <c r="N26" s="75">
        <v>0.56269999999999998</v>
      </c>
      <c r="O26" s="81">
        <v>0.49</v>
      </c>
      <c r="P26" s="25">
        <v>0.51580000000000004</v>
      </c>
      <c r="R26" s="75">
        <v>0.55920000000000003</v>
      </c>
      <c r="S26" s="81">
        <v>0.48</v>
      </c>
      <c r="T26" s="25">
        <v>0.50529999999999997</v>
      </c>
      <c r="V26" s="75">
        <v>0.55159999999999998</v>
      </c>
      <c r="W26" s="81">
        <v>0.51</v>
      </c>
      <c r="X26" s="25">
        <v>0.52849999999999997</v>
      </c>
      <c r="Z26" s="75">
        <v>0.5746</v>
      </c>
      <c r="AA26" s="81">
        <v>0.57999999999999996</v>
      </c>
      <c r="AB26" s="25">
        <v>0.57709999999999995</v>
      </c>
      <c r="AD26" s="75">
        <v>0.54700000000000004</v>
      </c>
      <c r="AE26" s="81">
        <v>0.52</v>
      </c>
      <c r="AF26" s="25">
        <v>0.53610000000000002</v>
      </c>
      <c r="AH26" s="75">
        <v>0.58860000000000001</v>
      </c>
      <c r="AI26" s="81">
        <v>0.5</v>
      </c>
      <c r="AJ26" s="25">
        <v>0.52629999999999999</v>
      </c>
      <c r="AL26" s="75">
        <v>0.59399999999999997</v>
      </c>
      <c r="AM26" s="81">
        <v>0.51</v>
      </c>
      <c r="AN26" s="25">
        <v>0.53400000000000003</v>
      </c>
      <c r="AP26" s="75">
        <v>0.56440000000000001</v>
      </c>
      <c r="AQ26" s="81">
        <v>0.54</v>
      </c>
      <c r="AR26" s="25">
        <v>0.55379999999999996</v>
      </c>
      <c r="AT26" s="75">
        <v>0.54659999999999997</v>
      </c>
      <c r="AU26" s="81">
        <v>0.52</v>
      </c>
      <c r="AV26" s="25">
        <v>0.52259999999999995</v>
      </c>
      <c r="AX26" s="75">
        <v>0.55079999999999996</v>
      </c>
      <c r="AY26" s="81">
        <v>0.51</v>
      </c>
      <c r="AZ26" s="25">
        <v>0.52310000000000001</v>
      </c>
    </row>
    <row r="27" spans="1:52" ht="16.8" x14ac:dyDescent="0.3">
      <c r="A27"/>
      <c r="B27" s="86" t="s">
        <v>5</v>
      </c>
      <c r="C27" s="78">
        <f>D26/D27-1</f>
        <v>3.3007894785045622E-2</v>
      </c>
      <c r="D27" s="29">
        <f>(N27+R27+V27+Z27+AD27+AH27+AL27+AP27+AT27+AX27)/10</f>
        <v>0.54593000000000003</v>
      </c>
      <c r="E27" s="29">
        <f>SQRT(((N27-D27)^2+(R27-D27)^2+(V27-D27)^2+(Z27-D27)^2+(AD27-D27)^2+(AH27-D27)^2+(AL27-D27)^2+(AP27-D27)^2+(AT27-D27)^2+(AX27-D27)^2)/10)</f>
        <v>2.593303106079195E-2</v>
      </c>
      <c r="F27" s="79">
        <f>E27/D27</f>
        <v>4.7502483946278734E-2</v>
      </c>
      <c r="G27" s="15">
        <f>(O27+S27+W27+AA27+AE27+AI27+AM27+AQ27+AU27+AY27)/10</f>
        <v>0.4539999999999999</v>
      </c>
      <c r="H27" s="25">
        <f>SQRT(((O27-G27)^2+(S27-G27)^2+(W27-G27)^2+(AA27-G27)^2+(AE27-G27)^2+(AI27-G27)^2+(AM27-G27)^2+(AQ27-G27)^2+(AU27-G27)^2+(AY27-G27)^2)/10)</f>
        <v>4.0792156108742275E-2</v>
      </c>
      <c r="I27" s="31">
        <f>H27/G27</f>
        <v>8.9850564116172427E-2</v>
      </c>
      <c r="J27" s="25">
        <f>(P27+T27+X27+AB27+AF27+AJ27+AN27+AR27+AV27+AZ27)/10</f>
        <v>0.48775000000000002</v>
      </c>
      <c r="K27" s="25">
        <f>SQRT(((P27-J27)^2+(T27-J27)^2+(X27-J27)^2+(AB27-J27)^2+(AF27-J27)^2+(AJ27-J27)^2+(AN27-J27)^2+(AR27-J27)^2+(AV27-J27)^2+(AZ27-J27)^2)/10)</f>
        <v>3.2761295761920044E-2</v>
      </c>
      <c r="L27" s="31">
        <f>K27/J27</f>
        <v>6.7168212735868871E-2</v>
      </c>
      <c r="N27" s="75">
        <v>0.56759999999999999</v>
      </c>
      <c r="O27" s="25">
        <v>0.5</v>
      </c>
      <c r="P27" s="25">
        <v>0.51019999999999999</v>
      </c>
      <c r="R27" s="75">
        <v>0.56079999999999997</v>
      </c>
      <c r="S27" s="81">
        <v>0.48</v>
      </c>
      <c r="T27" s="82">
        <v>0.51060000000000005</v>
      </c>
      <c r="V27" s="75">
        <v>0.55179999999999996</v>
      </c>
      <c r="W27" s="81">
        <v>0.46</v>
      </c>
      <c r="X27" s="82">
        <v>0.49730000000000002</v>
      </c>
      <c r="Z27" s="75">
        <v>0.54520000000000002</v>
      </c>
      <c r="AA27" s="81">
        <v>0.48</v>
      </c>
      <c r="AB27" s="82">
        <v>0.51060000000000005</v>
      </c>
      <c r="AD27" s="75">
        <v>0.5091</v>
      </c>
      <c r="AE27" s="81">
        <v>0.46</v>
      </c>
      <c r="AF27" s="82">
        <v>0.47920000000000001</v>
      </c>
      <c r="AH27" s="75">
        <v>0.54349999999999998</v>
      </c>
      <c r="AI27" s="81">
        <v>0.5</v>
      </c>
      <c r="AJ27" s="82">
        <v>0.52910000000000001</v>
      </c>
      <c r="AL27" s="75">
        <v>0.53769999999999996</v>
      </c>
      <c r="AM27" s="81">
        <v>0.42</v>
      </c>
      <c r="AN27" s="82">
        <v>0.47189999999999999</v>
      </c>
      <c r="AP27" s="75">
        <v>0.5776</v>
      </c>
      <c r="AQ27" s="81">
        <v>0.38</v>
      </c>
      <c r="AR27" s="82">
        <v>0.43430000000000002</v>
      </c>
      <c r="AT27" s="75">
        <v>0.57320000000000004</v>
      </c>
      <c r="AU27" s="81">
        <v>0.47</v>
      </c>
      <c r="AV27" s="82">
        <v>0.5081</v>
      </c>
      <c r="AX27" s="75">
        <v>0.49280000000000002</v>
      </c>
      <c r="AY27" s="81">
        <v>0.39</v>
      </c>
      <c r="AZ27" s="82">
        <v>0.42620000000000002</v>
      </c>
    </row>
    <row r="28" spans="1:52" ht="16.8" x14ac:dyDescent="0.3">
      <c r="A28" s="3"/>
      <c r="B28" s="86" t="s">
        <v>1</v>
      </c>
      <c r="C28" s="87">
        <f>D26/D28-1</f>
        <v>9.5239944844730084E-2</v>
      </c>
      <c r="D28" s="29">
        <f>(N28+R28+V28+Z28+AD28+AH28+AL28+AP28+AT28+AX28)/10</f>
        <v>0.51490999999999998</v>
      </c>
      <c r="E28" s="29">
        <f>SQRT(((N28-D28)^2+(R28-D28)^2+(V28-D28)^2+(Z28-D28)^2+(AD28-D28)^2+(AH28-D28)^2+(AL28-D28)^2+(AP28-D28)^2+(AT28-D28)^2+(AX28-D28)^2)/10)</f>
        <v>2.7687522460487498E-2</v>
      </c>
      <c r="F28" s="79">
        <f>E28/D28</f>
        <v>5.3771576509462814E-2</v>
      </c>
      <c r="G28" s="15">
        <f>(O28+S28+W28+AA28+AE28+AI28+AM28+AQ28+AU28+AY28)/10</f>
        <v>0.47499999999999998</v>
      </c>
      <c r="H28" s="25">
        <f>SQRT(((O28-G28)^2+(S28-G28)^2+(W28-G28)^2+(AA28-G28)^2+(AE28-G28)^2+(AI28-G28)^2+(AM28-G28)^2+(AQ28-G28)^2+(AU28-G28)^2+(AY28-G28)^2)/10)</f>
        <v>3.7749172176353762E-2</v>
      </c>
      <c r="I28" s="31">
        <f>H28/G28</f>
        <v>7.9471941423902667E-2</v>
      </c>
      <c r="J28" s="25">
        <f>(P28+T28+X28+AB28+AF28+AJ28+AN28+AR28+AV28+AZ28)/10</f>
        <v>0.47674000000000005</v>
      </c>
      <c r="K28" s="25">
        <f>SQRT(((P28-J28)^2+(T28-J28)^2+(X28-J28)^2+(AB28-J28)^2+(AF28-J28)^2+(AJ28-J28)^2+(AN28-J28)^2+(AR28-J28)^2+(AV28-J28)^2+(AZ28-J28)^2)/10)</f>
        <v>3.0325045754293595E-2</v>
      </c>
      <c r="L28" s="31">
        <f>K28/J28</f>
        <v>6.3609191077513089E-2</v>
      </c>
      <c r="N28" s="75">
        <v>0.52729999999999999</v>
      </c>
      <c r="O28" s="25">
        <v>0.45</v>
      </c>
      <c r="P28" s="25">
        <v>0.4592</v>
      </c>
      <c r="R28" s="75">
        <v>0.54169999999999996</v>
      </c>
      <c r="S28" s="81">
        <v>0.5</v>
      </c>
      <c r="T28" s="83">
        <v>0.51280000000000003</v>
      </c>
      <c r="V28" s="75">
        <v>0.49609999999999999</v>
      </c>
      <c r="W28" s="81">
        <v>0.44</v>
      </c>
      <c r="X28" s="83">
        <v>0.44440000000000002</v>
      </c>
      <c r="Z28" s="75">
        <v>0.44969999999999999</v>
      </c>
      <c r="AA28" s="81">
        <v>0.44</v>
      </c>
      <c r="AB28" s="83">
        <v>0.4607</v>
      </c>
      <c r="AD28" s="75">
        <v>0.50319999999999998</v>
      </c>
      <c r="AE28" s="81">
        <v>0.41</v>
      </c>
      <c r="AF28" s="83">
        <v>0.41839999999999999</v>
      </c>
      <c r="AH28" s="75">
        <v>0.50319999999999998</v>
      </c>
      <c r="AI28" s="81">
        <v>0.52</v>
      </c>
      <c r="AJ28" s="83">
        <v>0.51229999999999998</v>
      </c>
      <c r="AL28" s="75">
        <v>0.51580000000000004</v>
      </c>
      <c r="AM28" s="81">
        <v>0.53</v>
      </c>
      <c r="AN28" s="83">
        <v>0.5121</v>
      </c>
      <c r="AP28" s="75">
        <v>0.55369999999999997</v>
      </c>
      <c r="AQ28" s="81">
        <v>0.47</v>
      </c>
      <c r="AR28" s="83">
        <v>0.47239999999999999</v>
      </c>
      <c r="AT28" s="75">
        <v>0.52869999999999995</v>
      </c>
      <c r="AU28" s="81">
        <v>0.51</v>
      </c>
      <c r="AV28" s="83">
        <v>0.49509999999999998</v>
      </c>
      <c r="AX28" s="75">
        <v>0.52969999999999995</v>
      </c>
      <c r="AY28" s="81">
        <v>0.48</v>
      </c>
      <c r="AZ28" s="83">
        <v>0.48</v>
      </c>
    </row>
    <row r="29" spans="1:52" ht="16.8" x14ac:dyDescent="0.3">
      <c r="A29"/>
      <c r="B29" s="86" t="s">
        <v>11</v>
      </c>
      <c r="C29" s="78">
        <f>D26/D29-1</f>
        <v>5.4762750855667841E-2</v>
      </c>
      <c r="D29" s="29">
        <f>(N29+R29+V29+Z29+AD29+AH29+AL29+AP29+AT29+AX29)/10</f>
        <v>0.53466999999999998</v>
      </c>
      <c r="E29" s="29">
        <f>SQRT(((N29-D29)^2+(R29-D29)^2+(V29-D29)^2+(Z29-D29)^2+(AD29-D29)^2+(AH29-D29)^2+(AL29-D29)^2+(AP29-D29)^2+(AT29-D29)^2+(AX29-D29)^2)/10)</f>
        <v>1.5332582952653481E-2</v>
      </c>
      <c r="F29" s="79">
        <f>E29/D29</f>
        <v>2.8676722001708496E-2</v>
      </c>
      <c r="G29" s="15">
        <f>(O29+S29+W29+AA29+AE29+AI29+AM29+AQ29+AU29+AY29)/10</f>
        <v>0.48099999999999998</v>
      </c>
      <c r="H29" s="25">
        <f>SQRT(((O29-G29)^2+(S29-G29)^2+(W29-G29)^2+(AA29-G29)^2+(AE29-G29)^2+(AI29-G29)^2+(AM29-G29)^2+(AQ29-G29)^2+(AU29-G29)^2+(AY29-G29)^2)/10)</f>
        <v>3.6180105030251097E-2</v>
      </c>
      <c r="I29" s="31">
        <f>H29/G29</f>
        <v>7.5218513576405605E-2</v>
      </c>
      <c r="J29" s="25">
        <f>(P29+T29+X29+AB29+AF29+AJ29+AN29+AR29+AV29+AZ29)/10</f>
        <v>0.48773</v>
      </c>
      <c r="K29" s="25">
        <f>SQRT(((P29-J29)^2+(T29-J29)^2+(X29-J29)^2+(AB29-J29)^2+(AF29-J29)^2+(AJ29-J29)^2+(AN29-J29)^2+(AR29-J29)^2+(AV29-J29)^2+(AZ29-J29)^2)/10)</f>
        <v>2.4504613851272984E-2</v>
      </c>
      <c r="L29" s="31">
        <f>K29/J29</f>
        <v>5.0242170568291854E-2</v>
      </c>
      <c r="N29" s="75">
        <v>0.54269999999999996</v>
      </c>
      <c r="O29" s="81">
        <v>0.41</v>
      </c>
      <c r="P29" s="25">
        <v>0.4481</v>
      </c>
      <c r="R29" s="75">
        <v>0.53390000000000004</v>
      </c>
      <c r="S29" s="81">
        <v>0.5</v>
      </c>
      <c r="T29" s="83">
        <v>0.48</v>
      </c>
      <c r="V29" s="75">
        <v>0.50590000000000002</v>
      </c>
      <c r="W29" s="81">
        <v>0.43</v>
      </c>
      <c r="X29" s="83">
        <v>0.45029999999999998</v>
      </c>
      <c r="Z29" s="75">
        <v>0.52429999999999999</v>
      </c>
      <c r="AA29" s="81">
        <v>0.5</v>
      </c>
      <c r="AB29" s="83">
        <v>0.51019999999999999</v>
      </c>
      <c r="AD29" s="75">
        <v>0.55430000000000001</v>
      </c>
      <c r="AE29" s="81">
        <v>0.54</v>
      </c>
      <c r="AF29" s="83">
        <v>0.52939999999999998</v>
      </c>
      <c r="AH29" s="75">
        <v>0.51359999999999995</v>
      </c>
      <c r="AI29" s="81">
        <v>0.49</v>
      </c>
      <c r="AJ29" s="83">
        <v>0.49490000000000001</v>
      </c>
      <c r="AL29" s="75">
        <v>0.55310000000000004</v>
      </c>
      <c r="AM29" s="81">
        <v>0.47</v>
      </c>
      <c r="AN29" s="83">
        <v>0.47239999999999999</v>
      </c>
      <c r="AO29" s="34"/>
      <c r="AP29" s="84">
        <v>0.53190000000000004</v>
      </c>
      <c r="AQ29" s="85">
        <v>0.49</v>
      </c>
      <c r="AR29" s="83">
        <v>0.49490000000000001</v>
      </c>
      <c r="AT29" s="75">
        <v>0.54049999999999998</v>
      </c>
      <c r="AU29" s="81">
        <v>0.47</v>
      </c>
      <c r="AV29" s="83">
        <v>0.48959999999999998</v>
      </c>
      <c r="AX29" s="75">
        <v>0.54649999999999999</v>
      </c>
      <c r="AY29" s="81">
        <v>0.51</v>
      </c>
      <c r="AZ29" s="83">
        <v>0.50749999999999995</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1.1437997353490159E-2</v>
      </c>
      <c r="D33" s="29">
        <f>(N33+R33+V33+Z33+AD33+AH33+AL33+AP33+AT33+AX33)/10</f>
        <v>0.55166999999999999</v>
      </c>
      <c r="E33" s="29">
        <f>SQRT(((N33-D33)^2+(R33-D33)^2+(V33-D33)^2+(Z33-D33)^2+(AD33-D33)^2+(AH33-D33)^2+(AL33-D33)^2+(AP33-D33)^2+(AT33-D33)^2+(AX33-D33)^2)/10)</f>
        <v>3.2177787369550544E-3</v>
      </c>
      <c r="F33" s="79">
        <f>E33/D33</f>
        <v>5.8327963038683536E-3</v>
      </c>
      <c r="G33" s="15">
        <f>(O33+S33+W33+AA33+AE33+AI33+AM33+AQ33+AU33+AY33)/10</f>
        <v>0.44300000000000006</v>
      </c>
      <c r="H33" s="25">
        <f>SQRT(((O33-G33)^2+(S33-G33)^2+(W33-G33)^2+(AA33-G33)^2+(AE33-G33)^2+(AI33-G33)^2+(AM33-G33)^2+(AQ33-G33)^2+(AU33-G33)^2+(AY33-G33)^2)/10)</f>
        <v>1.100000000000001E-2</v>
      </c>
      <c r="I33" s="31">
        <f>H33/G33</f>
        <v>2.4830699774266385E-2</v>
      </c>
      <c r="J33" s="25">
        <f>(P33+T33+X33+AB33+AF33+AJ33+AN33+AR33+AV33+AZ33)/10</f>
        <v>0.48331000000000002</v>
      </c>
      <c r="K33" s="25">
        <f>SQRT(((P33-J33)^2+(T33-J33)^2+(X33-J33)^2+(AB33-J33)^2+(AF33-J33)^2+(AJ33-J33)^2+(AN33-J33)^2+(AR33-J33)^2+(AV33-J33)^2+(AZ33-J33)^2)/10)</f>
        <v>7.1832374316877457E-3</v>
      </c>
      <c r="L33" s="31">
        <f>K33/J33</f>
        <v>1.4862588052570288E-2</v>
      </c>
      <c r="N33" s="75">
        <v>0.55320000000000003</v>
      </c>
      <c r="O33" s="81">
        <v>0.44</v>
      </c>
      <c r="P33" s="25">
        <v>0.4783</v>
      </c>
      <c r="R33" s="75">
        <v>0.55420000000000003</v>
      </c>
      <c r="S33" s="81">
        <v>0.44</v>
      </c>
      <c r="T33" s="25">
        <v>0.48349999999999999</v>
      </c>
      <c r="V33" s="75">
        <v>0.54859999999999998</v>
      </c>
      <c r="W33" s="81">
        <v>0.46</v>
      </c>
      <c r="X33" s="25">
        <v>0.49459999999999998</v>
      </c>
      <c r="Z33" s="75">
        <v>0.55449999999999999</v>
      </c>
      <c r="AA33" s="81">
        <v>0.44</v>
      </c>
      <c r="AB33" s="25">
        <v>0.48620000000000002</v>
      </c>
      <c r="AD33" s="75">
        <v>0.54859999999999998</v>
      </c>
      <c r="AE33" s="81">
        <v>0.46</v>
      </c>
      <c r="AF33" s="25">
        <v>0.49459999999999998</v>
      </c>
      <c r="AH33" s="75">
        <v>0.55420000000000003</v>
      </c>
      <c r="AI33" s="81">
        <v>0.44</v>
      </c>
      <c r="AJ33" s="25">
        <v>0.48349999999999999</v>
      </c>
      <c r="AL33" s="75">
        <v>0.5554</v>
      </c>
      <c r="AM33" s="81">
        <v>0.44</v>
      </c>
      <c r="AN33" s="25">
        <v>0.48089999999999999</v>
      </c>
      <c r="AP33" s="75">
        <v>0.54530000000000001</v>
      </c>
      <c r="AQ33" s="81">
        <v>0.42</v>
      </c>
      <c r="AR33" s="25">
        <v>0.46929999999999999</v>
      </c>
      <c r="AT33" s="75">
        <v>0.54949999999999999</v>
      </c>
      <c r="AU33" s="81">
        <v>0.45</v>
      </c>
      <c r="AV33" s="25">
        <v>0.4839</v>
      </c>
      <c r="AX33" s="75">
        <v>0.55320000000000003</v>
      </c>
      <c r="AY33" s="81">
        <v>0.44</v>
      </c>
      <c r="AZ33" s="25">
        <v>0.4783</v>
      </c>
    </row>
    <row r="34" spans="1:52" ht="33.6" x14ac:dyDescent="0.3">
      <c r="A34" s="3"/>
      <c r="B34" s="86" t="s">
        <v>46</v>
      </c>
      <c r="C34" s="80"/>
      <c r="D34" s="29">
        <f>(N34+R34+V34+Z34+AD34+AH34+AL34+AP34+AT34+AX34)/10</f>
        <v>0.55797999999999992</v>
      </c>
      <c r="E34" s="29">
        <f>SQRT(((N34-D34)^2+(R34-D34)^2+(V34-D34)^2+(Z34-D34)^2+(AD34-D34)^2+(AH34-D34)^2+(AL34-D34)^2+(AP34-D34)^2+(AT34-D34)^2+(AX34-D34)^2)/10)</f>
        <v>1.7457136076687939E-2</v>
      </c>
      <c r="F34" s="79">
        <f>E34/D34</f>
        <v>3.1286311474762428E-2</v>
      </c>
      <c r="G34" s="15">
        <f>(O34+S34+W34+AA34+AE34+AI34+AM34+AQ34+AU34+AY34)/10</f>
        <v>0.51400000000000001</v>
      </c>
      <c r="H34" s="25">
        <f>SQRT(((O34-G34)^2+(S34-G34)^2+(W34-G34)^2+(AA34-G34)^2+(AE34-G34)^2+(AI34-G34)^2+(AM34-G34)^2+(AQ34-G34)^2+(AU34-G34)^2+(AY34-G34)^2)/10)</f>
        <v>2.6532998322843223E-2</v>
      </c>
      <c r="I34" s="62">
        <f>H34/G34</f>
        <v>5.1620619305142453E-2</v>
      </c>
      <c r="J34" s="25">
        <f>(P34+T34+X34+AB34+AF34+AJ34+AN34+AR34+AV34+AZ34)/10</f>
        <v>0.52703999999999995</v>
      </c>
      <c r="K34" s="25">
        <f>SQRT(((P34-J34)^2+(T34-J34)^2+(X34-J34)^2+(AB34-J34)^2+(AF34-J34)^2+(AJ34-J34)^2+(AN34-J34)^2+(AR34-J34)^2+(AV34-J34)^2+(AZ34-J34)^2)/10)</f>
        <v>2.3154619409526025E-2</v>
      </c>
      <c r="L34" s="62">
        <f>K34/J34</f>
        <v>4.3933324623417633E-2</v>
      </c>
      <c r="N34" s="75">
        <v>0.57979999999999998</v>
      </c>
      <c r="O34" s="81">
        <v>0.53</v>
      </c>
      <c r="P34" s="25">
        <v>0.54079999999999995</v>
      </c>
      <c r="R34" s="75">
        <v>0.54600000000000004</v>
      </c>
      <c r="S34" s="81">
        <v>0.51</v>
      </c>
      <c r="T34" s="25">
        <v>0.51780000000000004</v>
      </c>
      <c r="V34" s="75">
        <v>0.52270000000000005</v>
      </c>
      <c r="W34" s="81">
        <v>0.49</v>
      </c>
      <c r="X34" s="25">
        <v>0.51039999999999996</v>
      </c>
      <c r="Z34" s="75">
        <v>0.58230000000000004</v>
      </c>
      <c r="AA34" s="81">
        <v>0.56000000000000005</v>
      </c>
      <c r="AB34" s="25">
        <v>0.56279999999999997</v>
      </c>
      <c r="AD34" s="75">
        <v>0.55379999999999996</v>
      </c>
      <c r="AE34" s="81">
        <v>0.55000000000000004</v>
      </c>
      <c r="AF34" s="25">
        <v>0.55840000000000001</v>
      </c>
      <c r="AH34" s="75">
        <v>0.55149999999999999</v>
      </c>
      <c r="AI34" s="81">
        <v>0.48</v>
      </c>
      <c r="AJ34" s="25">
        <v>0.48730000000000001</v>
      </c>
      <c r="AL34" s="75">
        <v>0.55920000000000003</v>
      </c>
      <c r="AM34" s="81">
        <v>0.5</v>
      </c>
      <c r="AN34" s="25">
        <v>0.51549999999999996</v>
      </c>
      <c r="AP34" s="75">
        <v>0.56789999999999996</v>
      </c>
      <c r="AQ34" s="81">
        <v>0.51</v>
      </c>
      <c r="AR34" s="25">
        <v>0.53400000000000003</v>
      </c>
      <c r="AT34" s="75">
        <v>0.57299999999999995</v>
      </c>
      <c r="AU34" s="81">
        <v>0.48</v>
      </c>
      <c r="AV34" s="25">
        <v>0.50260000000000005</v>
      </c>
      <c r="AX34" s="75">
        <v>0.54359999999999997</v>
      </c>
      <c r="AY34" s="81">
        <v>0.53</v>
      </c>
      <c r="AZ34" s="25">
        <v>0.54079999999999995</v>
      </c>
    </row>
    <row r="35" spans="1:52" ht="16.8" x14ac:dyDescent="0.3">
      <c r="B35" s="86" t="s">
        <v>5</v>
      </c>
      <c r="C35" s="78">
        <f>D34/D35-1</f>
        <v>2.2072426867913331E-2</v>
      </c>
      <c r="D35" s="29">
        <f>(N35+R35+V35+Z35+AD35+AH35+AL35+AP35+AT35+AX35)/10</f>
        <v>0.54593000000000003</v>
      </c>
      <c r="E35" s="29">
        <f>SQRT(((N35-D35)^2+(R35-D35)^2+(V35-D35)^2+(Z35-D35)^2+(AD35-D35)^2+(AH35-D35)^2+(AL35-D35)^2+(AP35-D35)^2+(AT35-D35)^2+(AX35-D35)^2)/10)</f>
        <v>2.593303106079195E-2</v>
      </c>
      <c r="F35" s="79">
        <f>E35/D35</f>
        <v>4.7502483946278734E-2</v>
      </c>
      <c r="G35" s="15">
        <f>(O35+S35+W35+AA35+AE35+AI35+AM35+AQ35+AU35+AY35)/10</f>
        <v>0.4539999999999999</v>
      </c>
      <c r="H35" s="25">
        <f>SQRT(((O35-G35)^2+(S35-G35)^2+(W35-G35)^2+(AA35-G35)^2+(AE35-G35)^2+(AI35-G35)^2+(AM35-G35)^2+(AQ35-G35)^2+(AU35-G35)^2+(AY35-G35)^2)/10)</f>
        <v>4.0792156108742275E-2</v>
      </c>
      <c r="I35" s="31">
        <f>H35/G35</f>
        <v>8.9850564116172427E-2</v>
      </c>
      <c r="J35" s="25">
        <f>(P35+T35+X35+AB35+AF35+AJ35+AN35+AR35+AV35+AZ35)/10</f>
        <v>0.48775000000000002</v>
      </c>
      <c r="K35" s="25">
        <f>SQRT(((P35-J35)^2+(T35-J35)^2+(X35-J35)^2+(AB35-J35)^2+(AF35-J35)^2+(AJ35-J35)^2+(AN35-J35)^2+(AR35-J35)^2+(AV35-J35)^2+(AZ35-J35)^2)/10)</f>
        <v>3.2761295761920044E-2</v>
      </c>
      <c r="L35" s="31">
        <f>K35/J35</f>
        <v>6.7168212735868871E-2</v>
      </c>
      <c r="N35" s="75">
        <v>0.56759999999999999</v>
      </c>
      <c r="O35" s="25">
        <v>0.5</v>
      </c>
      <c r="P35" s="25">
        <v>0.51019999999999999</v>
      </c>
      <c r="R35" s="75">
        <v>0.56079999999999997</v>
      </c>
      <c r="S35" s="81">
        <v>0.48</v>
      </c>
      <c r="T35" s="82">
        <v>0.51060000000000005</v>
      </c>
      <c r="V35" s="75">
        <v>0.55179999999999996</v>
      </c>
      <c r="W35" s="81">
        <v>0.46</v>
      </c>
      <c r="X35" s="82">
        <v>0.49730000000000002</v>
      </c>
      <c r="Z35" s="75">
        <v>0.54520000000000002</v>
      </c>
      <c r="AA35" s="81">
        <v>0.48</v>
      </c>
      <c r="AB35" s="82">
        <v>0.51060000000000005</v>
      </c>
      <c r="AD35" s="75">
        <v>0.5091</v>
      </c>
      <c r="AE35" s="81">
        <v>0.46</v>
      </c>
      <c r="AF35" s="82">
        <v>0.47920000000000001</v>
      </c>
      <c r="AH35" s="75">
        <v>0.54349999999999998</v>
      </c>
      <c r="AI35" s="81">
        <v>0.5</v>
      </c>
      <c r="AJ35" s="82">
        <v>0.52910000000000001</v>
      </c>
      <c r="AL35" s="75">
        <v>0.53769999999999996</v>
      </c>
      <c r="AM35" s="81">
        <v>0.42</v>
      </c>
      <c r="AN35" s="82">
        <v>0.47189999999999999</v>
      </c>
      <c r="AP35" s="75">
        <v>0.5776</v>
      </c>
      <c r="AQ35" s="81">
        <v>0.38</v>
      </c>
      <c r="AR35" s="82">
        <v>0.43430000000000002</v>
      </c>
      <c r="AT35" s="75">
        <v>0.57320000000000004</v>
      </c>
      <c r="AU35" s="81">
        <v>0.47</v>
      </c>
      <c r="AV35" s="82">
        <v>0.5081</v>
      </c>
      <c r="AX35" s="75">
        <v>0.49280000000000002</v>
      </c>
      <c r="AY35" s="81">
        <v>0.39</v>
      </c>
      <c r="AZ35" s="82">
        <v>0.42620000000000002</v>
      </c>
    </row>
    <row r="36" spans="1:52" ht="16.8" x14ac:dyDescent="0.3">
      <c r="B36" s="86" t="s">
        <v>1</v>
      </c>
      <c r="C36" s="87">
        <f>D34/D36-1</f>
        <v>8.3645685653803481E-2</v>
      </c>
      <c r="D36" s="29">
        <f>(N36+R36+V36+Z36+AD36+AH36+AL36+AP36+AT36+AX36)/10</f>
        <v>0.51490999999999998</v>
      </c>
      <c r="E36" s="29">
        <f>SQRT(((N36-D36)^2+(R36-D36)^2+(V36-D36)^2+(Z36-D36)^2+(AD36-D36)^2+(AH36-D36)^2+(AL36-D36)^2+(AP36-D36)^2+(AT36-D36)^2+(AX36-D36)^2)/10)</f>
        <v>2.7687522460487498E-2</v>
      </c>
      <c r="F36" s="79">
        <f>E36/D36</f>
        <v>5.3771576509462814E-2</v>
      </c>
      <c r="G36" s="15">
        <f>(O36+S36+W36+AA36+AE36+AI36+AM36+AQ36+AU36+AY36)/10</f>
        <v>0.47499999999999998</v>
      </c>
      <c r="H36" s="25">
        <f>SQRT(((O36-G36)^2+(S36-G36)^2+(W36-G36)^2+(AA36-G36)^2+(AE36-G36)^2+(AI36-G36)^2+(AM36-G36)^2+(AQ36-G36)^2+(AU36-G36)^2+(AY36-G36)^2)/10)</f>
        <v>3.7749172176353762E-2</v>
      </c>
      <c r="I36" s="31">
        <f>H36/G36</f>
        <v>7.9471941423902667E-2</v>
      </c>
      <c r="J36" s="25">
        <f>(P36+T36+X36+AB36+AF36+AJ36+AN36+AR36+AV36+AZ36)/10</f>
        <v>0.47674000000000005</v>
      </c>
      <c r="K36" s="25">
        <f>SQRT(((P36-J36)^2+(T36-J36)^2+(X36-J36)^2+(AB36-J36)^2+(AF36-J36)^2+(AJ36-J36)^2+(AN36-J36)^2+(AR36-J36)^2+(AV36-J36)^2+(AZ36-J36)^2)/10)</f>
        <v>3.0325045754293595E-2</v>
      </c>
      <c r="L36" s="31">
        <f>K36/J36</f>
        <v>6.3609191077513089E-2</v>
      </c>
      <c r="N36" s="75">
        <v>0.52729999999999999</v>
      </c>
      <c r="O36" s="25">
        <v>0.45</v>
      </c>
      <c r="P36" s="25">
        <v>0.4592</v>
      </c>
      <c r="R36" s="75">
        <v>0.54169999999999996</v>
      </c>
      <c r="S36" s="81">
        <v>0.5</v>
      </c>
      <c r="T36" s="83">
        <v>0.51280000000000003</v>
      </c>
      <c r="V36" s="75">
        <v>0.49609999999999999</v>
      </c>
      <c r="W36" s="81">
        <v>0.44</v>
      </c>
      <c r="X36" s="83">
        <v>0.44440000000000002</v>
      </c>
      <c r="Z36" s="75">
        <v>0.44969999999999999</v>
      </c>
      <c r="AA36" s="81">
        <v>0.44</v>
      </c>
      <c r="AB36" s="83">
        <v>0.4607</v>
      </c>
      <c r="AD36" s="75">
        <v>0.50319999999999998</v>
      </c>
      <c r="AE36" s="81">
        <v>0.41</v>
      </c>
      <c r="AF36" s="83">
        <v>0.41839999999999999</v>
      </c>
      <c r="AH36" s="75">
        <v>0.50319999999999998</v>
      </c>
      <c r="AI36" s="81">
        <v>0.52</v>
      </c>
      <c r="AJ36" s="83">
        <v>0.51229999999999998</v>
      </c>
      <c r="AL36" s="75">
        <v>0.51580000000000004</v>
      </c>
      <c r="AM36" s="81">
        <v>0.53</v>
      </c>
      <c r="AN36" s="83">
        <v>0.5121</v>
      </c>
      <c r="AP36" s="75">
        <v>0.55369999999999997</v>
      </c>
      <c r="AQ36" s="81">
        <v>0.47</v>
      </c>
      <c r="AR36" s="83">
        <v>0.47239999999999999</v>
      </c>
      <c r="AT36" s="75">
        <v>0.52869999999999995</v>
      </c>
      <c r="AU36" s="81">
        <v>0.51</v>
      </c>
      <c r="AV36" s="83">
        <v>0.49509999999999998</v>
      </c>
      <c r="AX36" s="75">
        <v>0.52969999999999995</v>
      </c>
      <c r="AY36" s="81">
        <v>0.48</v>
      </c>
      <c r="AZ36" s="83">
        <v>0.48</v>
      </c>
    </row>
    <row r="37" spans="1:52" ht="16.8" x14ac:dyDescent="0.3">
      <c r="B37" s="86" t="s">
        <v>11</v>
      </c>
      <c r="C37" s="78">
        <f>D34/D37-1</f>
        <v>4.3596985056202797E-2</v>
      </c>
      <c r="D37" s="29">
        <f>(N37+R37+V37+Z37+AD37+AH37+AL37+AP37+AT37+AX37)/10</f>
        <v>0.53466999999999998</v>
      </c>
      <c r="E37" s="29">
        <f>SQRT(((N37-D37)^2+(R37-D37)^2+(V37-D37)^2+(Z37-D37)^2+(AD37-D37)^2+(AH37-D37)^2+(AL37-D37)^2+(AP37-D37)^2+(AT37-D37)^2+(AX37-D37)^2)/10)</f>
        <v>1.5332582952653481E-2</v>
      </c>
      <c r="F37" s="79">
        <f>E37/D37</f>
        <v>2.8676722001708496E-2</v>
      </c>
      <c r="G37" s="15">
        <f>(O37+S37+W37+AA37+AE37+AI37+AM37+AQ37+AU37+AY37)/10</f>
        <v>0.48099999999999998</v>
      </c>
      <c r="H37" s="25">
        <f>SQRT(((O37-G37)^2+(S37-G37)^2+(W37-G37)^2+(AA37-G37)^2+(AE37-G37)^2+(AI37-G37)^2+(AM37-G37)^2+(AQ37-G37)^2+(AU37-G37)^2+(AY37-G37)^2)/10)</f>
        <v>3.6180105030251097E-2</v>
      </c>
      <c r="I37" s="31">
        <f>H37/G37</f>
        <v>7.5218513576405605E-2</v>
      </c>
      <c r="J37" s="25">
        <f>(P37+T37+X37+AB37+AF37+AJ37+AN37+AR37+AV37+AZ37)/10</f>
        <v>0.48773</v>
      </c>
      <c r="K37" s="25">
        <f>SQRT(((P37-J37)^2+(T37-J37)^2+(X37-J37)^2+(AB37-J37)^2+(AF37-J37)^2+(AJ37-J37)^2+(AN37-J37)^2+(AR37-J37)^2+(AV37-J37)^2+(AZ37-J37)^2)/10)</f>
        <v>2.4504613851272984E-2</v>
      </c>
      <c r="L37" s="31">
        <f>K37/J37</f>
        <v>5.0242170568291854E-2</v>
      </c>
      <c r="N37" s="75">
        <v>0.54269999999999996</v>
      </c>
      <c r="O37" s="81">
        <v>0.41</v>
      </c>
      <c r="P37" s="25">
        <v>0.4481</v>
      </c>
      <c r="R37" s="75">
        <v>0.53390000000000004</v>
      </c>
      <c r="S37" s="81">
        <v>0.5</v>
      </c>
      <c r="T37" s="83">
        <v>0.48</v>
      </c>
      <c r="V37" s="75">
        <v>0.50590000000000002</v>
      </c>
      <c r="W37" s="81">
        <v>0.43</v>
      </c>
      <c r="X37" s="83">
        <v>0.45029999999999998</v>
      </c>
      <c r="Z37" s="75">
        <v>0.52429999999999999</v>
      </c>
      <c r="AA37" s="81">
        <v>0.5</v>
      </c>
      <c r="AB37" s="83">
        <v>0.51019999999999999</v>
      </c>
      <c r="AD37" s="75">
        <v>0.55430000000000001</v>
      </c>
      <c r="AE37" s="81">
        <v>0.54</v>
      </c>
      <c r="AF37" s="83">
        <v>0.52939999999999998</v>
      </c>
      <c r="AH37" s="75">
        <v>0.51359999999999995</v>
      </c>
      <c r="AI37" s="81">
        <v>0.49</v>
      </c>
      <c r="AJ37" s="83">
        <v>0.49490000000000001</v>
      </c>
      <c r="AL37" s="75">
        <v>0.55310000000000004</v>
      </c>
      <c r="AM37" s="81">
        <v>0.47</v>
      </c>
      <c r="AN37" s="83">
        <v>0.47239999999999999</v>
      </c>
      <c r="AO37" s="34"/>
      <c r="AP37" s="84">
        <v>0.53190000000000004</v>
      </c>
      <c r="AQ37" s="85">
        <v>0.49</v>
      </c>
      <c r="AR37" s="83">
        <v>0.49490000000000001</v>
      </c>
      <c r="AT37" s="75">
        <v>0.54049999999999998</v>
      </c>
      <c r="AU37" s="81">
        <v>0.47</v>
      </c>
      <c r="AV37" s="83">
        <v>0.48959999999999998</v>
      </c>
      <c r="AX37" s="75">
        <v>0.54649999999999999</v>
      </c>
      <c r="AY37" s="81">
        <v>0.51</v>
      </c>
      <c r="AZ37" s="83">
        <v>0.50749999999999995</v>
      </c>
    </row>
  </sheetData>
  <mergeCells count="110">
    <mergeCell ref="AP31:AP32"/>
    <mergeCell ref="AQ31:AR31"/>
    <mergeCell ref="AT31:AT32"/>
    <mergeCell ref="AU31:AV31"/>
    <mergeCell ref="AX31:AX32"/>
    <mergeCell ref="AY31:AZ31"/>
    <mergeCell ref="AD31:AD32"/>
    <mergeCell ref="AE31:AF31"/>
    <mergeCell ref="AH31:AH32"/>
    <mergeCell ref="AI31:AJ31"/>
    <mergeCell ref="AL31:AL32"/>
    <mergeCell ref="AM31:AN31"/>
    <mergeCell ref="R31:R32"/>
    <mergeCell ref="S31:T31"/>
    <mergeCell ref="V31:V32"/>
    <mergeCell ref="W31:X31"/>
    <mergeCell ref="Z31:Z32"/>
    <mergeCell ref="AA31:AB31"/>
    <mergeCell ref="C31:C32"/>
    <mergeCell ref="D31:F31"/>
    <mergeCell ref="G31:I31"/>
    <mergeCell ref="J31:L31"/>
    <mergeCell ref="N31:N32"/>
    <mergeCell ref="O31:P31"/>
    <mergeCell ref="AP23:AP24"/>
    <mergeCell ref="AQ23:AR23"/>
    <mergeCell ref="AT23:AT24"/>
    <mergeCell ref="AU23:AV23"/>
    <mergeCell ref="AX23:AX24"/>
    <mergeCell ref="AY23:AZ23"/>
    <mergeCell ref="AD23:AD24"/>
    <mergeCell ref="AE23:AF23"/>
    <mergeCell ref="AH23:AH24"/>
    <mergeCell ref="AI23:AJ23"/>
    <mergeCell ref="AL23:AL24"/>
    <mergeCell ref="AM23:AN23"/>
    <mergeCell ref="R23:R24"/>
    <mergeCell ref="S23:T23"/>
    <mergeCell ref="V23:V24"/>
    <mergeCell ref="W23:X23"/>
    <mergeCell ref="Z23:Z24"/>
    <mergeCell ref="AA23:AB23"/>
    <mergeCell ref="C23:C24"/>
    <mergeCell ref="D23:F23"/>
    <mergeCell ref="G23:I23"/>
    <mergeCell ref="J23:L23"/>
    <mergeCell ref="N23:N24"/>
    <mergeCell ref="O23:P23"/>
    <mergeCell ref="AP15:AP16"/>
    <mergeCell ref="AQ15:AR15"/>
    <mergeCell ref="AT15:AT16"/>
    <mergeCell ref="AU15:AV15"/>
    <mergeCell ref="AX15:AX16"/>
    <mergeCell ref="AY15:AZ15"/>
    <mergeCell ref="AD15:AD16"/>
    <mergeCell ref="AE15:AF15"/>
    <mergeCell ref="AH15:AH16"/>
    <mergeCell ref="AI15:AJ15"/>
    <mergeCell ref="AL15:AL16"/>
    <mergeCell ref="AM15:AN15"/>
    <mergeCell ref="R15:R16"/>
    <mergeCell ref="S15:T15"/>
    <mergeCell ref="V15:V16"/>
    <mergeCell ref="W15:X15"/>
    <mergeCell ref="Z15:Z16"/>
    <mergeCell ref="AA15:AB15"/>
    <mergeCell ref="C15:C16"/>
    <mergeCell ref="D15:F15"/>
    <mergeCell ref="G15:I15"/>
    <mergeCell ref="J15:L15"/>
    <mergeCell ref="N15:N16"/>
    <mergeCell ref="O15:P15"/>
    <mergeCell ref="AP6:AR6"/>
    <mergeCell ref="AT6:AV6"/>
    <mergeCell ref="AP7:AP8"/>
    <mergeCell ref="AQ7:AR7"/>
    <mergeCell ref="AT7:AT8"/>
    <mergeCell ref="AU7:AV7"/>
    <mergeCell ref="AX7:AX8"/>
    <mergeCell ref="AY7:AZ7"/>
    <mergeCell ref="AD7:AD8"/>
    <mergeCell ref="AE7:AF7"/>
    <mergeCell ref="AH7:AH8"/>
    <mergeCell ref="AI7:AJ7"/>
    <mergeCell ref="AL7:AL8"/>
    <mergeCell ref="AM7:AN7"/>
    <mergeCell ref="AX6:AZ6"/>
    <mergeCell ref="C7:C8"/>
    <mergeCell ref="D7:F7"/>
    <mergeCell ref="G7:I7"/>
    <mergeCell ref="J7:L7"/>
    <mergeCell ref="N7:N8"/>
    <mergeCell ref="O7:P7"/>
    <mergeCell ref="B2:AZ2"/>
    <mergeCell ref="B3:AZ3"/>
    <mergeCell ref="N5:AZ5"/>
    <mergeCell ref="G6:K6"/>
    <mergeCell ref="N6:P6"/>
    <mergeCell ref="R6:T6"/>
    <mergeCell ref="V6:X6"/>
    <mergeCell ref="Z6:AB6"/>
    <mergeCell ref="AD6:AF6"/>
    <mergeCell ref="AH6:AJ6"/>
    <mergeCell ref="R7:R8"/>
    <mergeCell ref="S7:T7"/>
    <mergeCell ref="V7:V8"/>
    <mergeCell ref="W7:X7"/>
    <mergeCell ref="Z7:Z8"/>
    <mergeCell ref="AA7:AB7"/>
    <mergeCell ref="AL6:AN6"/>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8B77-C15C-4118-9206-FF67F2454167}">
  <dimension ref="A1:AZ37"/>
  <sheetViews>
    <sheetView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65.400000000000006" customHeight="1" x14ac:dyDescent="0.3">
      <c r="B2" s="164" t="s">
        <v>72</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36" customHeight="1" x14ac:dyDescent="0.3">
      <c r="B3" s="164" t="s">
        <v>77</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0.1608</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0.29279641404175516</v>
      </c>
      <c r="D9" s="29">
        <f>(N9+R9+V9+Z9+AD9+AH9+AL9+AP9+AT9+AX9)/10</f>
        <v>0.41048999999999997</v>
      </c>
      <c r="E9" s="29">
        <f>SQRT(((N9-D9)^2+(R9-D9)^2+(V9-D9)^2+(Z9-D9)^2+(AD9-D9)^2+(AH9-D9)^2+(AL9-D9)^2+(AP9-D9)^2+(AT9-D9)^2+(AX9-D9)^2)/10)</f>
        <v>8.4127819417835689E-3</v>
      </c>
      <c r="F9" s="79">
        <f>E9/D9</f>
        <v>2.0494486934599064E-2</v>
      </c>
      <c r="G9" s="15">
        <f>(O9+S9+W9+AA9+AE9+AI9+AM9+AQ9+AU9+AY9)/10</f>
        <v>0.74499999999999988</v>
      </c>
      <c r="H9" s="25">
        <f>SQRT(((O9-G9)^2+(S9-G9)^2+(W9-G9)^2+(AA9-G9)^2+(AE9-G9)^2+(AI9-G9)^2+(AM9-G9)^2+(AQ9-G9)^2+(AU9-G9)^2+(AY9-G9)^2)/10)</f>
        <v>1.2845232578665142E-2</v>
      </c>
      <c r="I9" s="31">
        <f>H9/G9</f>
        <v>1.7241922924382744E-2</v>
      </c>
      <c r="J9" s="25">
        <f>(P9+T9+X9+AB9+AF9+AJ9+AN9+AR9+AV9+AZ9)/10</f>
        <v>0.46303</v>
      </c>
      <c r="K9" s="25">
        <f>SQRT(((P9-J9)^2+(T9-J9)^2+(X9-J9)^2+(AB9-J9)^2+(AF9-J9)^2+(AJ9-J9)^2+(AN9-J9)^2+(AR9-J9)^2+(AV9-J9)^2+(AZ9-J9)^2)/10)</f>
        <v>2.3413884769512318E-3</v>
      </c>
      <c r="L9" s="31">
        <f>K9/J9</f>
        <v>5.0566669048468385E-3</v>
      </c>
      <c r="N9" s="75">
        <v>0.41839999999999999</v>
      </c>
      <c r="O9" s="81">
        <v>0.73</v>
      </c>
      <c r="P9" s="25">
        <v>0.46060000000000001</v>
      </c>
      <c r="R9" s="75">
        <v>0.4078</v>
      </c>
      <c r="S9" s="81">
        <v>0.74</v>
      </c>
      <c r="T9" s="25">
        <v>0.45960000000000001</v>
      </c>
      <c r="V9" s="75">
        <v>0.40250000000000002</v>
      </c>
      <c r="W9" s="81">
        <v>0.76</v>
      </c>
      <c r="X9" s="25">
        <v>0.46339999999999998</v>
      </c>
      <c r="Z9" s="75">
        <v>0.42409999999999998</v>
      </c>
      <c r="AA9" s="81">
        <v>0.73</v>
      </c>
      <c r="AB9" s="25">
        <v>0.46650000000000003</v>
      </c>
      <c r="AD9" s="75">
        <v>0.4078</v>
      </c>
      <c r="AE9" s="81">
        <v>0.74</v>
      </c>
      <c r="AF9" s="25">
        <v>0.45960000000000001</v>
      </c>
      <c r="AH9" s="75">
        <v>0.40250000000000002</v>
      </c>
      <c r="AI9" s="81">
        <v>0.76</v>
      </c>
      <c r="AJ9" s="25">
        <v>0.46339999999999998</v>
      </c>
      <c r="AL9" s="75">
        <v>0.40250000000000002</v>
      </c>
      <c r="AM9" s="81">
        <v>0.76</v>
      </c>
      <c r="AN9" s="25">
        <v>0.46339999999999998</v>
      </c>
      <c r="AP9" s="75">
        <v>0.41270000000000001</v>
      </c>
      <c r="AQ9" s="81">
        <v>0.74</v>
      </c>
      <c r="AR9" s="25">
        <v>0.46389999999999998</v>
      </c>
      <c r="AT9" s="75">
        <v>0.40250000000000002</v>
      </c>
      <c r="AU9" s="81">
        <v>0.76</v>
      </c>
      <c r="AV9" s="25">
        <v>0.46339999999999998</v>
      </c>
      <c r="AX9" s="75">
        <v>0.42409999999999998</v>
      </c>
      <c r="AY9" s="81">
        <v>0.73</v>
      </c>
      <c r="AZ9" s="25">
        <v>0.46650000000000003</v>
      </c>
    </row>
    <row r="10" spans="1:52" ht="37.799999999999997" customHeight="1" x14ac:dyDescent="0.3">
      <c r="A10" s="7"/>
      <c r="B10" s="86" t="s">
        <v>17</v>
      </c>
      <c r="C10" s="80"/>
      <c r="D10" s="29">
        <f>(N10+R10+V10+Z10+AD10+AH10+AL10+AP10+AT10+AX10)/10</f>
        <v>0.53068000000000004</v>
      </c>
      <c r="E10" s="29">
        <f>SQRT(((N10-D10)^2+(R10-D10)^2+(V10-D10)^2+(Z10-D10)^2+(AD10-D10)^2+(AH10-D10)^2+(AL10-D10)^2+(AP10-D10)^2+(AT10-D10)^2+(AX10-D10)^2)/10)</f>
        <v>1.7105835261687755E-2</v>
      </c>
      <c r="F10" s="79">
        <f>E10/D10</f>
        <v>3.2233804292017325E-2</v>
      </c>
      <c r="G10" s="15">
        <f>(O10+S10+W10+AA10+AE10+AI10+AM10+AQ10+AU10+AY10)/10</f>
        <v>0.74500000000000011</v>
      </c>
      <c r="H10" s="25">
        <f>SQRT(((O10-G10)^2+(S10-G10)^2+(W10-G10)^2+(AA10-G10)^2+(AE10-G10)^2+(AI10-G10)^2+(AM10-G10)^2+(AQ10-G10)^2+(AU10-G10)^2+(AY10-G10)^2)/10)</f>
        <v>1.0246950765959608E-2</v>
      </c>
      <c r="I10" s="62">
        <f>H10/G10</f>
        <v>1.3754296330147122E-2</v>
      </c>
      <c r="J10" s="25">
        <f>(P10+T10+X10+AB10+AF10+AJ10+AN10+AR10+AV10+AZ10)/10</f>
        <v>0.49731999999999993</v>
      </c>
      <c r="K10" s="25">
        <f>SQRT(((P10-J10)^2+(T10-J10)^2+(X10-J10)^2+(AB10-J10)^2+(AF10-J10)^2+(AJ10-J10)^2+(AN10-J10)^2+(AR10-J10)^2+(AV10-J10)^2+(AZ10-J10)^2)/10)</f>
        <v>1.3930814764399104E-2</v>
      </c>
      <c r="L10" s="62">
        <f>K10/J10</f>
        <v>2.8011772630095525E-2</v>
      </c>
      <c r="N10" s="75">
        <v>0.55330000000000001</v>
      </c>
      <c r="O10" s="25">
        <v>0.75</v>
      </c>
      <c r="P10" s="25">
        <v>0.49020000000000002</v>
      </c>
      <c r="R10" s="75">
        <v>0.53759999999999997</v>
      </c>
      <c r="S10" s="81">
        <v>0.74</v>
      </c>
      <c r="T10" s="25">
        <v>0.4728</v>
      </c>
      <c r="V10" s="75">
        <v>0.56140000000000001</v>
      </c>
      <c r="W10" s="81">
        <v>0.75</v>
      </c>
      <c r="X10" s="25">
        <v>0.50849999999999995</v>
      </c>
      <c r="Z10" s="75">
        <v>0.51029999999999998</v>
      </c>
      <c r="AA10" s="81">
        <v>0.75</v>
      </c>
      <c r="AB10" s="25">
        <v>0.50509999999999999</v>
      </c>
      <c r="AD10" s="75">
        <v>0.51849999999999996</v>
      </c>
      <c r="AE10" s="81">
        <v>0.76</v>
      </c>
      <c r="AF10" s="25">
        <v>0.5</v>
      </c>
      <c r="AH10" s="75">
        <v>0.51139999999999997</v>
      </c>
      <c r="AI10" s="81">
        <v>0.74</v>
      </c>
      <c r="AJ10" s="25">
        <v>0.50680000000000003</v>
      </c>
      <c r="AL10" s="75">
        <v>0.54179999999999995</v>
      </c>
      <c r="AM10" s="81">
        <v>0.76</v>
      </c>
      <c r="AN10" s="25">
        <v>0.49840000000000001</v>
      </c>
      <c r="AP10" s="75">
        <v>0.52500000000000002</v>
      </c>
      <c r="AQ10" s="81">
        <v>0.73</v>
      </c>
      <c r="AR10" s="25">
        <v>0.48499999999999999</v>
      </c>
      <c r="AT10" s="75">
        <v>0.51290000000000002</v>
      </c>
      <c r="AU10" s="81">
        <v>0.73</v>
      </c>
      <c r="AV10" s="25">
        <v>0.4834</v>
      </c>
      <c r="AX10" s="75">
        <v>0.53459999999999996</v>
      </c>
      <c r="AY10" s="81">
        <v>0.74</v>
      </c>
      <c r="AZ10" s="25">
        <v>0.52300000000000002</v>
      </c>
    </row>
    <row r="11" spans="1:52" ht="18" customHeight="1" x14ac:dyDescent="0.3">
      <c r="A11" s="7"/>
      <c r="B11" s="86" t="s">
        <v>5</v>
      </c>
      <c r="C11" s="78">
        <f>D10/D11-1</f>
        <v>0.4241472774602153</v>
      </c>
      <c r="D11" s="29">
        <f>(N11+R11+V11+Z11+AD11+AH11+AL11+AP11+AT11+AX11)/10</f>
        <v>0.37263000000000002</v>
      </c>
      <c r="E11" s="29">
        <f>SQRT(((N11-D11)^2+(R11-D11)^2+(V11-D11)^2+(Z11-D11)^2+(AD11-D11)^2+(AH11-D11)^2+(AL11-D11)^2+(AP11-D11)^2+(AT11-D11)^2+(AX11-D11)^2)/10)</f>
        <v>1.6933165681584764E-2</v>
      </c>
      <c r="F11" s="79">
        <f>E11/D11</f>
        <v>4.5442303844523427E-2</v>
      </c>
      <c r="G11" s="15">
        <f>(O11+S11+W11+AA11+AE11+AI11+AM11+AQ11+AU11+AY11)/10</f>
        <v>0.32199999999999995</v>
      </c>
      <c r="H11" s="25">
        <f>SQRT(((O11-G11)^2+(S11-G11)^2+(W11-G11)^2+(AA11-G11)^2+(AE11-G11)^2+(AI11-G11)^2+(AM11-G11)^2+(AQ11-G11)^2+(AU11-G11)^2+(AY11-G11)^2)/10)</f>
        <v>3.5999999999999997E-2</v>
      </c>
      <c r="I11" s="31">
        <f>H11/G11</f>
        <v>0.11180124223602485</v>
      </c>
      <c r="J11" s="25">
        <f>(P11+T11+X11+AB11+AF11+AJ11+AN11+AR11+AV11+AZ11)/10</f>
        <v>0.34712999999999999</v>
      </c>
      <c r="K11" s="25">
        <f>SQRT(((P11-J11)^2+(T11-J11)^2+(X11-J11)^2+(AB11-J11)^2+(AF11-J11)^2+(AJ11-J11)^2+(AN11-J11)^2+(AR11-J11)^2+(AV11-J11)^2+(AZ11-J11)^2)/10)</f>
        <v>2.8374955506573048E-2</v>
      </c>
      <c r="L11" s="31">
        <f>K11/J11</f>
        <v>8.1741582423221992E-2</v>
      </c>
      <c r="N11" s="75">
        <v>0.3543</v>
      </c>
      <c r="O11" s="25">
        <v>0.26</v>
      </c>
      <c r="P11" s="25">
        <v>0.30059999999999998</v>
      </c>
      <c r="R11" s="75">
        <v>0.39229999999999998</v>
      </c>
      <c r="S11" s="81">
        <v>0.35</v>
      </c>
      <c r="T11" s="82">
        <v>0.36840000000000001</v>
      </c>
      <c r="V11" s="75">
        <v>0.3669</v>
      </c>
      <c r="W11" s="81">
        <v>0.3</v>
      </c>
      <c r="X11" s="82">
        <v>0.33710000000000001</v>
      </c>
      <c r="Z11" s="75">
        <v>0.35110000000000002</v>
      </c>
      <c r="AA11" s="81">
        <v>0.28999999999999998</v>
      </c>
      <c r="AB11" s="82">
        <v>0.31690000000000002</v>
      </c>
      <c r="AD11" s="75">
        <v>0.36659999999999998</v>
      </c>
      <c r="AE11" s="81">
        <v>0.37</v>
      </c>
      <c r="AF11" s="82">
        <v>0.37559999999999999</v>
      </c>
      <c r="AH11" s="75">
        <v>0.38640000000000002</v>
      </c>
      <c r="AI11" s="81">
        <v>0.34</v>
      </c>
      <c r="AJ11" s="82">
        <v>0.37159999999999999</v>
      </c>
      <c r="AL11" s="75">
        <v>0.36680000000000001</v>
      </c>
      <c r="AM11" s="81">
        <v>0.33</v>
      </c>
      <c r="AN11" s="82">
        <v>0.34549999999999997</v>
      </c>
      <c r="AP11" s="75">
        <v>0.3599</v>
      </c>
      <c r="AQ11" s="81">
        <v>0.28000000000000003</v>
      </c>
      <c r="AR11" s="82">
        <v>0.31819999999999998</v>
      </c>
      <c r="AT11" s="75">
        <v>0.37440000000000001</v>
      </c>
      <c r="AU11" s="81">
        <v>0.33</v>
      </c>
      <c r="AV11" s="82">
        <v>0.34379999999999999</v>
      </c>
      <c r="AX11" s="75">
        <v>0.40760000000000002</v>
      </c>
      <c r="AY11" s="81">
        <v>0.37</v>
      </c>
      <c r="AZ11" s="82">
        <v>0.39360000000000001</v>
      </c>
    </row>
    <row r="12" spans="1:52" ht="18" customHeight="1" x14ac:dyDescent="0.3">
      <c r="A12" s="7"/>
      <c r="B12" s="86" t="s">
        <v>1</v>
      </c>
      <c r="C12" s="78">
        <f>D10/D12-1</f>
        <v>4.8277496839443712E-2</v>
      </c>
      <c r="D12" s="29">
        <f>(N12+R12+V12+Z12+AD12+AH12+AL12+AP12+AT12+AX12)/10</f>
        <v>0.50624000000000002</v>
      </c>
      <c r="E12" s="29">
        <f>SQRT(((N12-D12)^2+(R12-D12)^2+(V12-D12)^2+(Z12-D12)^2+(AD12-D12)^2+(AH12-D12)^2+(AL12-D12)^2+(AP12-D12)^2+(AT12-D12)^2+(AX12-D12)^2)/10)</f>
        <v>1.9672884892663816E-2</v>
      </c>
      <c r="F12" s="79">
        <f>E12/D12</f>
        <v>3.8860787161551467E-2</v>
      </c>
      <c r="G12" s="15">
        <f>(O12+S12+W12+AA12+AE12+AI12+AM12+AQ12+AU12+AY12)/10</f>
        <v>0.81600000000000006</v>
      </c>
      <c r="H12" s="25">
        <f>SQRT(((O12-G12)^2+(S12-G12)^2+(W12-G12)^2+(AA12-G12)^2+(AE12-G12)^2+(AI12-G12)^2+(AM12-G12)^2+(AQ12-G12)^2+(AU12-G12)^2+(AY12-G12)^2)/10)</f>
        <v>2.3323807579381173E-2</v>
      </c>
      <c r="I12" s="31">
        <f>H12/G12</f>
        <v>2.8583097523751436E-2</v>
      </c>
      <c r="J12" s="25">
        <f>(P12+T12+X12+AB12+AF12+AJ12+AN12+AR12+AV12+AZ12)/10</f>
        <v>0.48718000000000006</v>
      </c>
      <c r="K12" s="25">
        <f>SQRT(((P12-J12)^2+(T12-J12)^2+(X12-J12)^2+(AB12-J12)^2+(AF12-J12)^2+(AJ12-J12)^2+(AN12-J12)^2+(AR12-J12)^2+(AV12-J12)^2+(AZ12-J12)^2)/10)</f>
        <v>1.2862332603381085E-2</v>
      </c>
      <c r="L12" s="31">
        <f>K12/J12</f>
        <v>2.6401602289464025E-2</v>
      </c>
      <c r="N12" s="75">
        <v>0.50690000000000002</v>
      </c>
      <c r="O12" s="25">
        <v>0.82</v>
      </c>
      <c r="P12" s="25">
        <v>0.47399999999999998</v>
      </c>
      <c r="R12" s="75">
        <v>0.51170000000000004</v>
      </c>
      <c r="S12" s="81">
        <v>0.78</v>
      </c>
      <c r="T12" s="83">
        <v>0.50490000000000002</v>
      </c>
      <c r="V12" s="75">
        <v>0.48089999999999999</v>
      </c>
      <c r="W12" s="81">
        <v>0.78</v>
      </c>
      <c r="X12" s="83">
        <v>0.46850000000000003</v>
      </c>
      <c r="Z12" s="75">
        <v>0.50790000000000002</v>
      </c>
      <c r="AA12" s="81">
        <v>0.81</v>
      </c>
      <c r="AB12" s="83">
        <v>0.4894</v>
      </c>
      <c r="AD12" s="75">
        <v>0.50239999999999996</v>
      </c>
      <c r="AE12" s="81">
        <v>0.84</v>
      </c>
      <c r="AF12" s="83">
        <v>0.48</v>
      </c>
      <c r="AH12" s="75">
        <v>0.4748</v>
      </c>
      <c r="AI12" s="81">
        <v>0.85</v>
      </c>
      <c r="AJ12" s="83">
        <v>0.48430000000000001</v>
      </c>
      <c r="AL12" s="75">
        <v>0.51759999999999995</v>
      </c>
      <c r="AM12" s="81">
        <v>0.83</v>
      </c>
      <c r="AN12" s="83">
        <v>0.48820000000000002</v>
      </c>
      <c r="AP12" s="75">
        <v>0.54600000000000004</v>
      </c>
      <c r="AQ12" s="81">
        <v>0.8</v>
      </c>
      <c r="AR12" s="83">
        <v>0.50790000000000002</v>
      </c>
      <c r="AT12" s="75">
        <v>0.49159999999999998</v>
      </c>
      <c r="AU12" s="81">
        <v>0.84</v>
      </c>
      <c r="AV12" s="83">
        <v>0.47460000000000002</v>
      </c>
      <c r="AX12" s="75">
        <v>0.52259999999999995</v>
      </c>
      <c r="AY12" s="81">
        <v>0.81</v>
      </c>
      <c r="AZ12" s="83">
        <v>0.5</v>
      </c>
    </row>
    <row r="13" spans="1:52" ht="18" customHeight="1" x14ac:dyDescent="0.3">
      <c r="A13" s="7"/>
      <c r="B13" s="86" t="s">
        <v>11</v>
      </c>
      <c r="C13" s="78">
        <f>D10/D13-1</f>
        <v>2.6437791815435316</v>
      </c>
      <c r="D13" s="29">
        <f>(N13+R13+V13+Z13+AD13+AH13+AL13+AP13+AT13+AX13)/10</f>
        <v>0.14564000000000002</v>
      </c>
      <c r="E13" s="29">
        <f>SQRT(((N13-D13)^2+(R13-D13)^2+(V13-D13)^2+(Z13-D13)^2+(AD13-D13)^2+(AH13-D13)^2+(AL13-D13)^2+(AP13-D13)^2+(AT13-D13)^2+(AX13-D13)^2)/10)</f>
        <v>1.175739767125362E-2</v>
      </c>
      <c r="F13" s="79">
        <f>E13/D13</f>
        <v>8.0729179286278624E-2</v>
      </c>
      <c r="G13" s="15">
        <f>(O13+S13+W13+AA13+AE13+AI13+AM13+AQ13+AU13+AY13)/10</f>
        <v>0.41600000000000004</v>
      </c>
      <c r="H13" s="25">
        <f>SQRT(((O13-G13)^2+(S13-G13)^2+(W13-G13)^2+(AA13-G13)^2+(AE13-G13)^2+(AI13-G13)^2+(AM13-G13)^2+(AQ13-G13)^2+(AU13-G13)^2+(AY13-G13)^2)/10)</f>
        <v>5.0635955604688657E-2</v>
      </c>
      <c r="I13" s="31">
        <f>H13/G13</f>
        <v>0.12172104712665541</v>
      </c>
      <c r="J13" s="25">
        <f>(P13+T13+X13+AB13+AF13+AJ13+AN13+AR13+AV13+AZ13)/10</f>
        <v>0.21801999999999996</v>
      </c>
      <c r="K13" s="25">
        <f>SQRT(((P13-J13)^2+(T13-J13)^2+(X13-J13)^2+(AB13-J13)^2+(AF13-J13)^2+(AJ13-J13)^2+(AN13-J13)^2+(AR13-J13)^2+(AV13-J13)^2+(AZ13-J13)^2)/10)</f>
        <v>2.8448050899841978E-2</v>
      </c>
      <c r="L13" s="31">
        <f>K13/J13</f>
        <v>0.13048367535016045</v>
      </c>
      <c r="N13" s="75">
        <v>0.16420000000000001</v>
      </c>
      <c r="O13" s="81">
        <v>0.46</v>
      </c>
      <c r="P13" s="25">
        <v>0.25209999999999999</v>
      </c>
      <c r="R13" s="75">
        <v>0.16339999999999999</v>
      </c>
      <c r="S13" s="81">
        <v>0.5</v>
      </c>
      <c r="T13" s="83">
        <v>0.26669999999999999</v>
      </c>
      <c r="V13" s="75">
        <v>0.1343</v>
      </c>
      <c r="W13" s="81">
        <v>0.38</v>
      </c>
      <c r="X13" s="83">
        <v>0.19789999999999999</v>
      </c>
      <c r="Z13" s="75">
        <v>0.14269999999999999</v>
      </c>
      <c r="AA13" s="81">
        <v>0.46</v>
      </c>
      <c r="AB13" s="83">
        <v>0.23830000000000001</v>
      </c>
      <c r="AD13" s="75">
        <v>0.1615</v>
      </c>
      <c r="AE13" s="81">
        <v>0.48</v>
      </c>
      <c r="AF13" s="83">
        <v>0.2487</v>
      </c>
      <c r="AH13" s="75">
        <v>0.13400000000000001</v>
      </c>
      <c r="AI13" s="81">
        <v>0.4</v>
      </c>
      <c r="AJ13" s="83">
        <v>0.20300000000000001</v>
      </c>
      <c r="AL13" s="75">
        <v>0.1431</v>
      </c>
      <c r="AM13" s="81">
        <v>0.36</v>
      </c>
      <c r="AN13" s="83">
        <v>0.192</v>
      </c>
      <c r="AO13" s="34"/>
      <c r="AP13" s="84">
        <v>0.1363</v>
      </c>
      <c r="AQ13" s="85">
        <v>0.39</v>
      </c>
      <c r="AR13" s="83">
        <v>0.20369999999999999</v>
      </c>
      <c r="AT13" s="75">
        <v>0.13919999999999999</v>
      </c>
      <c r="AU13" s="81">
        <v>0.37</v>
      </c>
      <c r="AV13" s="83">
        <v>0.1883</v>
      </c>
      <c r="AX13" s="75">
        <v>0.13769999999999999</v>
      </c>
      <c r="AY13" s="81">
        <v>0.36</v>
      </c>
      <c r="AZ13" s="83">
        <v>0.1895</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0.29701088942483378</v>
      </c>
      <c r="D17" s="29">
        <f>(N17+R17+V17+Z17+AD17+AH17+AL17+AP17+AT17+AX17)/10</f>
        <v>0.41048999999999997</v>
      </c>
      <c r="E17" s="29">
        <f>SQRT(((N17-D17)^2+(R17-D17)^2+(V17-D17)^2+(Z17-D17)^2+(AD17-D17)^2+(AH17-D17)^2+(AL17-D17)^2+(AP17-D17)^2+(AT17-D17)^2+(AX17-D17)^2)/10)</f>
        <v>8.4127819417835689E-3</v>
      </c>
      <c r="F17" s="79">
        <f>E17/D17</f>
        <v>2.0494486934599064E-2</v>
      </c>
      <c r="G17" s="15">
        <f>(O17+S17+W17+AA17+AE17+AI17+AM17+AQ17+AU17+AY17)/10</f>
        <v>0.74499999999999988</v>
      </c>
      <c r="H17" s="25">
        <f>SQRT(((O17-G17)^2+(S17-G17)^2+(W17-G17)^2+(AA17-G17)^2+(AE17-G17)^2+(AI17-G17)^2+(AM17-G17)^2+(AQ17-G17)^2+(AU17-G17)^2+(AY17-G17)^2)/10)</f>
        <v>1.2845232578665142E-2</v>
      </c>
      <c r="I17" s="31">
        <f>H17/G17</f>
        <v>1.7241922924382744E-2</v>
      </c>
      <c r="J17" s="25">
        <f>(P17+T17+X17+AB17+AF17+AJ17+AN17+AR17+AV17+AZ17)/10</f>
        <v>0.46303</v>
      </c>
      <c r="K17" s="25">
        <f>SQRT(((P17-J17)^2+(T17-J17)^2+(X17-J17)^2+(AB17-J17)^2+(AF17-J17)^2+(AJ17-J17)^2+(AN17-J17)^2+(AR17-J17)^2+(AV17-J17)^2+(AZ17-J17)^2)/10)</f>
        <v>2.3413884769512318E-3</v>
      </c>
      <c r="L17" s="31">
        <f>K17/J17</f>
        <v>5.0566669048468385E-3</v>
      </c>
      <c r="N17" s="75">
        <v>0.41839999999999999</v>
      </c>
      <c r="O17" s="81">
        <v>0.73</v>
      </c>
      <c r="P17" s="25">
        <v>0.46060000000000001</v>
      </c>
      <c r="R17" s="75">
        <v>0.4078</v>
      </c>
      <c r="S17" s="81">
        <v>0.74</v>
      </c>
      <c r="T17" s="25">
        <v>0.45960000000000001</v>
      </c>
      <c r="V17" s="75">
        <v>0.40250000000000002</v>
      </c>
      <c r="W17" s="81">
        <v>0.76</v>
      </c>
      <c r="X17" s="25">
        <v>0.46339999999999998</v>
      </c>
      <c r="Z17" s="75">
        <v>0.42409999999999998</v>
      </c>
      <c r="AA17" s="81">
        <v>0.73</v>
      </c>
      <c r="AB17" s="25">
        <v>0.46650000000000003</v>
      </c>
      <c r="AD17" s="75">
        <v>0.4078</v>
      </c>
      <c r="AE17" s="81">
        <v>0.74</v>
      </c>
      <c r="AF17" s="25">
        <v>0.45960000000000001</v>
      </c>
      <c r="AH17" s="75">
        <v>0.40250000000000002</v>
      </c>
      <c r="AI17" s="81">
        <v>0.76</v>
      </c>
      <c r="AJ17" s="25">
        <v>0.46339999999999998</v>
      </c>
      <c r="AL17" s="75">
        <v>0.40250000000000002</v>
      </c>
      <c r="AM17" s="81">
        <v>0.76</v>
      </c>
      <c r="AN17" s="25">
        <v>0.46339999999999998</v>
      </c>
      <c r="AP17" s="75">
        <v>0.41270000000000001</v>
      </c>
      <c r="AQ17" s="81">
        <v>0.74</v>
      </c>
      <c r="AR17" s="25">
        <v>0.46389999999999998</v>
      </c>
      <c r="AT17" s="75">
        <v>0.40250000000000002</v>
      </c>
      <c r="AU17" s="81">
        <v>0.76</v>
      </c>
      <c r="AV17" s="25">
        <v>0.46339999999999998</v>
      </c>
      <c r="AX17" s="75">
        <v>0.42409999999999998</v>
      </c>
      <c r="AY17" s="81">
        <v>0.73</v>
      </c>
      <c r="AZ17" s="25">
        <v>0.46650000000000003</v>
      </c>
    </row>
    <row r="18" spans="1:52" ht="32.4" customHeight="1" x14ac:dyDescent="0.3">
      <c r="A18"/>
      <c r="B18" s="86" t="s">
        <v>44</v>
      </c>
      <c r="C18" s="80"/>
      <c r="D18" s="29">
        <f>(N18+R18+V18+Z18+AD18+AH18+AL18+AP18+AT18+AX18)/10</f>
        <v>0.53240999999999994</v>
      </c>
      <c r="E18" s="29">
        <f>SQRT(((N18-D18)^2+(R18-D18)^2+(V18-D18)^2+(Z18-D18)^2+(AD18-D18)^2+(AH18-D18)^2+(AL18-D18)^2+(AP18-D18)^2+(AT18-D18)^2+(AX18-D18)^2)/10)</f>
        <v>1.8444698425292831E-2</v>
      </c>
      <c r="F18" s="79">
        <f>E18/D18</f>
        <v>3.4643786602980474E-2</v>
      </c>
      <c r="G18" s="18">
        <f>(O18+S18+W18+AA18+AE18+AI18+AM18+AQ18+AU18+AY18)/10</f>
        <v>0.73299999999999987</v>
      </c>
      <c r="H18" s="64">
        <f>SQRT(((O18-G18)^2+(S18-G18)^2+(W18-G18)^2+(AA18-G18)^2+(AE18-G18)^2+(AI18-G18)^2+(AM18-G18)^2+(AQ18-G18)^2+(AU18-G18)^2+(AY18-G18)^2)/10)</f>
        <v>1.9000000000000017E-2</v>
      </c>
      <c r="I18" s="62">
        <f>H18/G18</f>
        <v>2.5920873124147367E-2</v>
      </c>
      <c r="J18" s="64">
        <f>(P18+T18+X18+AB18+AF18+AJ18+AN18+AR18+AV18+AZ18)/10</f>
        <v>0.49580000000000002</v>
      </c>
      <c r="K18" s="64">
        <f>SQRT(((P18-J18)^2+(T18-J18)^2+(X18-J18)^2+(AB18-J18)^2+(AF18-J18)^2+(AJ18-J18)^2+(AN18-J18)^2+(AR18-J18)^2+(AV18-J18)^2+(AZ18-J18)^2)/10)</f>
        <v>1.2065239326262868E-2</v>
      </c>
      <c r="L18" s="62">
        <f>K18/J18</f>
        <v>2.4334891743168347E-2</v>
      </c>
      <c r="N18" s="75">
        <v>0.54249999999999998</v>
      </c>
      <c r="O18" s="81">
        <v>0.74</v>
      </c>
      <c r="P18" s="25">
        <v>0.48370000000000002</v>
      </c>
      <c r="R18" s="75">
        <v>0.54500000000000004</v>
      </c>
      <c r="S18" s="81">
        <v>0.71</v>
      </c>
      <c r="T18" s="25">
        <v>0.49130000000000001</v>
      </c>
      <c r="V18" s="75">
        <v>0.50090000000000001</v>
      </c>
      <c r="W18" s="81">
        <v>0.73</v>
      </c>
      <c r="X18" s="25">
        <v>0.47710000000000002</v>
      </c>
      <c r="Z18" s="75">
        <v>0.5242</v>
      </c>
      <c r="AA18" s="81">
        <v>0.74</v>
      </c>
      <c r="AB18" s="25">
        <v>0.50680000000000003</v>
      </c>
      <c r="AD18" s="75">
        <v>0.50509999999999999</v>
      </c>
      <c r="AE18" s="81">
        <v>0.72</v>
      </c>
      <c r="AF18" s="25">
        <v>0.48320000000000002</v>
      </c>
      <c r="AH18" s="75">
        <v>0.5212</v>
      </c>
      <c r="AI18" s="81">
        <v>0.73</v>
      </c>
      <c r="AJ18" s="25">
        <v>0.50170000000000003</v>
      </c>
      <c r="AL18" s="75">
        <v>0.53249999999999997</v>
      </c>
      <c r="AM18" s="81">
        <v>0.77</v>
      </c>
      <c r="AN18" s="25">
        <v>0.51680000000000004</v>
      </c>
      <c r="AP18" s="75">
        <v>0.5605</v>
      </c>
      <c r="AQ18" s="81">
        <v>0.7</v>
      </c>
      <c r="AR18" s="25">
        <v>0.5091</v>
      </c>
      <c r="AT18" s="75">
        <v>0.55089999999999995</v>
      </c>
      <c r="AU18" s="81">
        <v>0.75</v>
      </c>
      <c r="AV18" s="25">
        <v>0.495</v>
      </c>
      <c r="AX18" s="75">
        <v>0.5413</v>
      </c>
      <c r="AY18" s="81">
        <v>0.74</v>
      </c>
      <c r="AZ18" s="25">
        <v>0.49330000000000002</v>
      </c>
    </row>
    <row r="19" spans="1:52" ht="16.8" x14ac:dyDescent="0.3">
      <c r="A19"/>
      <c r="B19" s="86" t="s">
        <v>5</v>
      </c>
      <c r="C19" s="78">
        <f>D18/D19-1</f>
        <v>0.42878995249979845</v>
      </c>
      <c r="D19" s="29">
        <f>(N19+R19+V19+Z19+AD19+AH19+AL19+AP19+AT19+AX19)/10</f>
        <v>0.37263000000000002</v>
      </c>
      <c r="E19" s="29">
        <f>SQRT(((N19-D19)^2+(R19-D19)^2+(V19-D19)^2+(Z19-D19)^2+(AD19-D19)^2+(AH19-D19)^2+(AL19-D19)^2+(AP19-D19)^2+(AT19-D19)^2+(AX19-D19)^2)/10)</f>
        <v>1.6933165681584764E-2</v>
      </c>
      <c r="F19" s="79">
        <f>E19/D19</f>
        <v>4.5442303844523427E-2</v>
      </c>
      <c r="G19" s="15">
        <f>(O19+S19+W19+AA19+AE19+AI19+AM19+AQ19+AU19+AY19)/10</f>
        <v>0.32199999999999995</v>
      </c>
      <c r="H19" s="25">
        <f>SQRT(((O19-G19)^2+(S19-G19)^2+(W19-G19)^2+(AA19-G19)^2+(AE19-G19)^2+(AI19-G19)^2+(AM19-G19)^2+(AQ19-G19)^2+(AU19-G19)^2+(AY19-G19)^2)/10)</f>
        <v>3.5999999999999997E-2</v>
      </c>
      <c r="I19" s="31">
        <f>H19/G19</f>
        <v>0.11180124223602485</v>
      </c>
      <c r="J19" s="25">
        <f>(P19+T19+X19+AB19+AF19+AJ19+AN19+AR19+AV19+AZ19)/10</f>
        <v>0.34712999999999999</v>
      </c>
      <c r="K19" s="25">
        <f>SQRT(((P19-J19)^2+(T19-J19)^2+(X19-J19)^2+(AB19-J19)^2+(AF19-J19)^2+(AJ19-J19)^2+(AN19-J19)^2+(AR19-J19)^2+(AV19-J19)^2+(AZ19-J19)^2)/10)</f>
        <v>2.8374955506573048E-2</v>
      </c>
      <c r="L19" s="31">
        <f>K19/J19</f>
        <v>8.1741582423221992E-2</v>
      </c>
      <c r="N19" s="75">
        <v>0.3543</v>
      </c>
      <c r="O19" s="25">
        <v>0.26</v>
      </c>
      <c r="P19" s="25">
        <v>0.30059999999999998</v>
      </c>
      <c r="R19" s="75">
        <v>0.39229999999999998</v>
      </c>
      <c r="S19" s="81">
        <v>0.35</v>
      </c>
      <c r="T19" s="82">
        <v>0.36840000000000001</v>
      </c>
      <c r="V19" s="75">
        <v>0.3669</v>
      </c>
      <c r="W19" s="81">
        <v>0.3</v>
      </c>
      <c r="X19" s="82">
        <v>0.33710000000000001</v>
      </c>
      <c r="Z19" s="75">
        <v>0.35110000000000002</v>
      </c>
      <c r="AA19" s="81">
        <v>0.28999999999999998</v>
      </c>
      <c r="AB19" s="82">
        <v>0.31690000000000002</v>
      </c>
      <c r="AD19" s="75">
        <v>0.36659999999999998</v>
      </c>
      <c r="AE19" s="81">
        <v>0.37</v>
      </c>
      <c r="AF19" s="82">
        <v>0.37559999999999999</v>
      </c>
      <c r="AH19" s="75">
        <v>0.38640000000000002</v>
      </c>
      <c r="AI19" s="81">
        <v>0.34</v>
      </c>
      <c r="AJ19" s="82">
        <v>0.37159999999999999</v>
      </c>
      <c r="AL19" s="75">
        <v>0.36680000000000001</v>
      </c>
      <c r="AM19" s="81">
        <v>0.33</v>
      </c>
      <c r="AN19" s="82">
        <v>0.34549999999999997</v>
      </c>
      <c r="AP19" s="75">
        <v>0.3599</v>
      </c>
      <c r="AQ19" s="81">
        <v>0.28000000000000003</v>
      </c>
      <c r="AR19" s="82">
        <v>0.31819999999999998</v>
      </c>
      <c r="AT19" s="75">
        <v>0.37440000000000001</v>
      </c>
      <c r="AU19" s="81">
        <v>0.33</v>
      </c>
      <c r="AV19" s="82">
        <v>0.34379999999999999</v>
      </c>
      <c r="AX19" s="75">
        <v>0.40760000000000002</v>
      </c>
      <c r="AY19" s="81">
        <v>0.37</v>
      </c>
      <c r="AZ19" s="82">
        <v>0.39360000000000001</v>
      </c>
    </row>
    <row r="20" spans="1:52" ht="16.8" x14ac:dyDescent="0.3">
      <c r="A20"/>
      <c r="B20" s="86" t="s">
        <v>1</v>
      </c>
      <c r="C20" s="87">
        <f>D18/D20-1</f>
        <v>5.1694848293299511E-2</v>
      </c>
      <c r="D20" s="29">
        <f>(N20+R20+V20+Z20+AD20+AH20+AL20+AP20+AT20+AX20)/10</f>
        <v>0.50624000000000002</v>
      </c>
      <c r="E20" s="29">
        <f>SQRT(((N20-D20)^2+(R20-D20)^2+(V20-D20)^2+(Z20-D20)^2+(AD20-D20)^2+(AH20-D20)^2+(AL20-D20)^2+(AP20-D20)^2+(AT20-D20)^2+(AX20-D20)^2)/10)</f>
        <v>1.9672884892663816E-2</v>
      </c>
      <c r="F20" s="79">
        <f>E20/D20</f>
        <v>3.8860787161551467E-2</v>
      </c>
      <c r="G20" s="15">
        <f>(O20+S20+W20+AA20+AE20+AI20+AM20+AQ20+AU20+AY20)/10</f>
        <v>0.81600000000000006</v>
      </c>
      <c r="H20" s="25">
        <f>SQRT(((O20-G20)^2+(S20-G20)^2+(W20-G20)^2+(AA20-G20)^2+(AE20-G20)^2+(AI20-G20)^2+(AM20-G20)^2+(AQ20-G20)^2+(AU20-G20)^2+(AY20-G20)^2)/10)</f>
        <v>2.3323807579381173E-2</v>
      </c>
      <c r="I20" s="31">
        <f>H20/G20</f>
        <v>2.8583097523751436E-2</v>
      </c>
      <c r="J20" s="25">
        <f>(P20+T20+X20+AB20+AF20+AJ20+AN20+AR20+AV20+AZ20)/10</f>
        <v>0.48718000000000006</v>
      </c>
      <c r="K20" s="25">
        <f>SQRT(((P20-J20)^2+(T20-J20)^2+(X20-J20)^2+(AB20-J20)^2+(AF20-J20)^2+(AJ20-J20)^2+(AN20-J20)^2+(AR20-J20)^2+(AV20-J20)^2+(AZ20-J20)^2)/10)</f>
        <v>1.2862332603381085E-2</v>
      </c>
      <c r="L20" s="31">
        <f>K20/J20</f>
        <v>2.6401602289464025E-2</v>
      </c>
      <c r="N20" s="75">
        <v>0.50690000000000002</v>
      </c>
      <c r="O20" s="25">
        <v>0.82</v>
      </c>
      <c r="P20" s="25">
        <v>0.47399999999999998</v>
      </c>
      <c r="R20" s="75">
        <v>0.51170000000000004</v>
      </c>
      <c r="S20" s="81">
        <v>0.78</v>
      </c>
      <c r="T20" s="83">
        <v>0.50490000000000002</v>
      </c>
      <c r="V20" s="75">
        <v>0.48089999999999999</v>
      </c>
      <c r="W20" s="81">
        <v>0.78</v>
      </c>
      <c r="X20" s="83">
        <v>0.46850000000000003</v>
      </c>
      <c r="Z20" s="75">
        <v>0.50790000000000002</v>
      </c>
      <c r="AA20" s="81">
        <v>0.81</v>
      </c>
      <c r="AB20" s="83">
        <v>0.4894</v>
      </c>
      <c r="AD20" s="75">
        <v>0.50239999999999996</v>
      </c>
      <c r="AE20" s="81">
        <v>0.84</v>
      </c>
      <c r="AF20" s="83">
        <v>0.48</v>
      </c>
      <c r="AH20" s="75">
        <v>0.4748</v>
      </c>
      <c r="AI20" s="81">
        <v>0.85</v>
      </c>
      <c r="AJ20" s="83">
        <v>0.48430000000000001</v>
      </c>
      <c r="AL20" s="75">
        <v>0.51759999999999995</v>
      </c>
      <c r="AM20" s="81">
        <v>0.83</v>
      </c>
      <c r="AN20" s="83">
        <v>0.48820000000000002</v>
      </c>
      <c r="AP20" s="75">
        <v>0.54600000000000004</v>
      </c>
      <c r="AQ20" s="81">
        <v>0.8</v>
      </c>
      <c r="AR20" s="83">
        <v>0.50790000000000002</v>
      </c>
      <c r="AT20" s="75">
        <v>0.49159999999999998</v>
      </c>
      <c r="AU20" s="81">
        <v>0.84</v>
      </c>
      <c r="AV20" s="83">
        <v>0.47460000000000002</v>
      </c>
      <c r="AX20" s="75">
        <v>0.52259999999999995</v>
      </c>
      <c r="AY20" s="81">
        <v>0.81</v>
      </c>
      <c r="AZ20" s="83">
        <v>0.5</v>
      </c>
    </row>
    <row r="21" spans="1:52" ht="16.8" x14ac:dyDescent="0.3">
      <c r="A21"/>
      <c r="B21" s="86" t="s">
        <v>11</v>
      </c>
      <c r="C21" s="78">
        <f>D18/D21-1</f>
        <v>2.655657786322438</v>
      </c>
      <c r="D21" s="29">
        <f>(N21+R21+V21+Z21+AD21+AH21+AL21+AP21+AT21+AX21)/10</f>
        <v>0.14564000000000002</v>
      </c>
      <c r="E21" s="29">
        <f>SQRT(((N21-D21)^2+(R21-D21)^2+(V21-D21)^2+(Z21-D21)^2+(AD21-D21)^2+(AH21-D21)^2+(AL21-D21)^2+(AP21-D21)^2+(AT21-D21)^2+(AX21-D21)^2)/10)</f>
        <v>1.175739767125362E-2</v>
      </c>
      <c r="F21" s="79">
        <f>E21/D21</f>
        <v>8.0729179286278624E-2</v>
      </c>
      <c r="G21" s="15">
        <f>(O21+S21+W21+AA21+AE21+AI21+AM21+AQ21+AU21+AY21)/10</f>
        <v>0.41600000000000004</v>
      </c>
      <c r="H21" s="25">
        <f>SQRT(((O21-G21)^2+(S21-G21)^2+(W21-G21)^2+(AA21-G21)^2+(AE21-G21)^2+(AI21-G21)^2+(AM21-G21)^2+(AQ21-G21)^2+(AU21-G21)^2+(AY21-G21)^2)/10)</f>
        <v>5.0635955604688657E-2</v>
      </c>
      <c r="I21" s="31">
        <f>H21/G21</f>
        <v>0.12172104712665541</v>
      </c>
      <c r="J21" s="25">
        <f>(P21+T21+X21+AB21+AF21+AJ21+AN21+AR21+AV21+AZ21)/10</f>
        <v>0.21801999999999996</v>
      </c>
      <c r="K21" s="25">
        <f>SQRT(((P21-J21)^2+(T21-J21)^2+(X21-J21)^2+(AB21-J21)^2+(AF21-J21)^2+(AJ21-J21)^2+(AN21-J21)^2+(AR21-J21)^2+(AV21-J21)^2+(AZ21-J21)^2)/10)</f>
        <v>2.8448050899841978E-2</v>
      </c>
      <c r="L21" s="31">
        <f>K21/J21</f>
        <v>0.13048367535016045</v>
      </c>
      <c r="N21" s="75">
        <v>0.16420000000000001</v>
      </c>
      <c r="O21" s="81">
        <v>0.46</v>
      </c>
      <c r="P21" s="25">
        <v>0.25209999999999999</v>
      </c>
      <c r="R21" s="75">
        <v>0.16339999999999999</v>
      </c>
      <c r="S21" s="81">
        <v>0.5</v>
      </c>
      <c r="T21" s="83">
        <v>0.26669999999999999</v>
      </c>
      <c r="V21" s="75">
        <v>0.1343</v>
      </c>
      <c r="W21" s="81">
        <v>0.38</v>
      </c>
      <c r="X21" s="83">
        <v>0.19789999999999999</v>
      </c>
      <c r="Z21" s="75">
        <v>0.14269999999999999</v>
      </c>
      <c r="AA21" s="81">
        <v>0.46</v>
      </c>
      <c r="AB21" s="83">
        <v>0.23830000000000001</v>
      </c>
      <c r="AD21" s="75">
        <v>0.1615</v>
      </c>
      <c r="AE21" s="81">
        <v>0.48</v>
      </c>
      <c r="AF21" s="83">
        <v>0.2487</v>
      </c>
      <c r="AH21" s="75">
        <v>0.13400000000000001</v>
      </c>
      <c r="AI21" s="81">
        <v>0.4</v>
      </c>
      <c r="AJ21" s="83">
        <v>0.20300000000000001</v>
      </c>
      <c r="AL21" s="75">
        <v>0.1431</v>
      </c>
      <c r="AM21" s="81">
        <v>0.36</v>
      </c>
      <c r="AN21" s="83">
        <v>0.192</v>
      </c>
      <c r="AO21" s="34"/>
      <c r="AP21" s="84">
        <v>0.1363</v>
      </c>
      <c r="AQ21" s="85">
        <v>0.39</v>
      </c>
      <c r="AR21" s="83">
        <v>0.20369999999999999</v>
      </c>
      <c r="AT21" s="75">
        <v>0.13919999999999999</v>
      </c>
      <c r="AU21" s="81">
        <v>0.37</v>
      </c>
      <c r="AV21" s="83">
        <v>0.1883</v>
      </c>
      <c r="AX21" s="75">
        <v>0.13769999999999999</v>
      </c>
      <c r="AY21" s="81">
        <v>0.36</v>
      </c>
      <c r="AZ21" s="83">
        <v>0.1895</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0.3111890667251338</v>
      </c>
      <c r="D25" s="29">
        <f>(N25+R25+V25+Z25+AD25+AH25+AL25+AP25+AT25+AX25)/10</f>
        <v>0.41048999999999997</v>
      </c>
      <c r="E25" s="29">
        <f>SQRT(((N25-D25)^2+(R25-D25)^2+(V25-D25)^2+(Z25-D25)^2+(AD25-D25)^2+(AH25-D25)^2+(AL25-D25)^2+(AP25-D25)^2+(AT25-D25)^2+(AX25-D25)^2)/10)</f>
        <v>8.4127819417835689E-3</v>
      </c>
      <c r="F25" s="79">
        <f>E25/D25</f>
        <v>2.0494486934599064E-2</v>
      </c>
      <c r="G25" s="15">
        <f>(O25+S25+W25+AA25+AE25+AI25+AM25+AQ25+AU25+AY25)/10</f>
        <v>0.74499999999999988</v>
      </c>
      <c r="H25" s="25">
        <f>SQRT(((O25-G25)^2+(S25-G25)^2+(W25-G25)^2+(AA25-G25)^2+(AE25-G25)^2+(AI25-G25)^2+(AM25-G25)^2+(AQ25-G25)^2+(AU25-G25)^2+(AY25-G25)^2)/10)</f>
        <v>1.2845232578665142E-2</v>
      </c>
      <c r="I25" s="31">
        <f>H25/G25</f>
        <v>1.7241922924382744E-2</v>
      </c>
      <c r="J25" s="25">
        <f>(P25+T25+X25+AB25+AF25+AJ25+AN25+AR25+AV25+AZ25)/10</f>
        <v>0.46303</v>
      </c>
      <c r="K25" s="25">
        <f>SQRT(((P25-J25)^2+(T25-J25)^2+(X25-J25)^2+(AB25-J25)^2+(AF25-J25)^2+(AJ25-J25)^2+(AN25-J25)^2+(AR25-J25)^2+(AV25-J25)^2+(AZ25-J25)^2)/10)</f>
        <v>2.3413884769512318E-3</v>
      </c>
      <c r="L25" s="31">
        <f>K25/J25</f>
        <v>5.0566669048468385E-3</v>
      </c>
      <c r="N25" s="75">
        <v>0.41839999999999999</v>
      </c>
      <c r="O25" s="81">
        <v>0.73</v>
      </c>
      <c r="P25" s="25">
        <v>0.46060000000000001</v>
      </c>
      <c r="R25" s="75">
        <v>0.4078</v>
      </c>
      <c r="S25" s="81">
        <v>0.74</v>
      </c>
      <c r="T25" s="25">
        <v>0.45960000000000001</v>
      </c>
      <c r="V25" s="75">
        <v>0.40250000000000002</v>
      </c>
      <c r="W25" s="81">
        <v>0.76</v>
      </c>
      <c r="X25" s="25">
        <v>0.46339999999999998</v>
      </c>
      <c r="Z25" s="75">
        <v>0.42409999999999998</v>
      </c>
      <c r="AA25" s="81">
        <v>0.73</v>
      </c>
      <c r="AB25" s="25">
        <v>0.46650000000000003</v>
      </c>
      <c r="AD25" s="75">
        <v>0.4078</v>
      </c>
      <c r="AE25" s="81">
        <v>0.74</v>
      </c>
      <c r="AF25" s="25">
        <v>0.45960000000000001</v>
      </c>
      <c r="AH25" s="75">
        <v>0.40250000000000002</v>
      </c>
      <c r="AI25" s="81">
        <v>0.76</v>
      </c>
      <c r="AJ25" s="25">
        <v>0.46339999999999998</v>
      </c>
      <c r="AL25" s="75">
        <v>0.40250000000000002</v>
      </c>
      <c r="AM25" s="81">
        <v>0.76</v>
      </c>
      <c r="AN25" s="25">
        <v>0.46339999999999998</v>
      </c>
      <c r="AP25" s="75">
        <v>0.41270000000000001</v>
      </c>
      <c r="AQ25" s="81">
        <v>0.74</v>
      </c>
      <c r="AR25" s="25">
        <v>0.46389999999999998</v>
      </c>
      <c r="AT25" s="75">
        <v>0.40250000000000002</v>
      </c>
      <c r="AU25" s="81">
        <v>0.76</v>
      </c>
      <c r="AV25" s="25">
        <v>0.46339999999999998</v>
      </c>
      <c r="AX25" s="75">
        <v>0.42409999999999998</v>
      </c>
      <c r="AY25" s="81">
        <v>0.73</v>
      </c>
      <c r="AZ25" s="25">
        <v>0.46650000000000003</v>
      </c>
    </row>
    <row r="26" spans="1:52" ht="33.6" x14ac:dyDescent="0.3">
      <c r="A26"/>
      <c r="B26" s="86" t="s">
        <v>45</v>
      </c>
      <c r="C26" s="80"/>
      <c r="D26" s="29">
        <f>(N26+R26+V26+Z26+AD26+AH26+AL26+AP26+AT26+AX26)/10</f>
        <v>0.5382300000000001</v>
      </c>
      <c r="E26" s="29">
        <f>SQRT(((N26-D26)^2+(R26-D26)^2+(V26-D26)^2+(Z26-D26)^2+(AD26-D26)^2+(AH26-D26)^2+(AL26-D26)^2+(AP26-D26)^2+(AT26-D26)^2+(AX26-D26)^2)/10)</f>
        <v>1.7594035921300148E-2</v>
      </c>
      <c r="F26" s="79">
        <f>E26/D26</f>
        <v>3.2688694278096994E-2</v>
      </c>
      <c r="G26" s="18">
        <f>(O26+S26+W26+AA26+AE26+AI26+AM26+AQ26+AU26+AY26)/10</f>
        <v>0.7350000000000001</v>
      </c>
      <c r="H26" s="64">
        <f>SQRT(((O26-G26)^2+(S26-G26)^2+(W26-G26)^2+(AA26-G26)^2+(AE26-G26)^2+(AI26-G26)^2+(AM26-G26)^2+(AQ26-G26)^2+(AU26-G26)^2+(AY26-G26)^2)/10)</f>
        <v>2.247220505424425E-2</v>
      </c>
      <c r="I26" s="62">
        <f>H26/G26</f>
        <v>3.0574428645230269E-2</v>
      </c>
      <c r="J26" s="64">
        <f>(P26+T26+X26+AB26+AF26+AJ26+AN26+AR26+AV26+AZ26)/10</f>
        <v>0.49874999999999997</v>
      </c>
      <c r="K26" s="64">
        <f>SQRT(((P26-J26)^2+(T26-J26)^2+(X26-J26)^2+(AB26-J26)^2+(AF26-J26)^2+(AJ26-J26)^2+(AN26-J26)^2+(AR26-J26)^2+(AV26-J26)^2+(AZ26-J26)^2)/10)</f>
        <v>1.7299089571419648E-2</v>
      </c>
      <c r="L26" s="62">
        <f>K26/J26</f>
        <v>3.4684891371267464E-2</v>
      </c>
      <c r="N26" s="75">
        <v>0.56559999999999999</v>
      </c>
      <c r="O26" s="81">
        <v>0.7</v>
      </c>
      <c r="P26" s="25">
        <v>0.48110000000000003</v>
      </c>
      <c r="R26" s="75">
        <v>0.56840000000000002</v>
      </c>
      <c r="S26" s="81">
        <v>0.73</v>
      </c>
      <c r="T26" s="25">
        <v>0.49159999999999998</v>
      </c>
      <c r="V26" s="75">
        <v>0.54339999999999999</v>
      </c>
      <c r="W26" s="81">
        <v>0.77</v>
      </c>
      <c r="X26" s="25">
        <v>0.52200000000000002</v>
      </c>
      <c r="Z26" s="75">
        <v>0.53239999999999998</v>
      </c>
      <c r="AA26" s="81">
        <v>0.73</v>
      </c>
      <c r="AB26" s="25">
        <v>0.50690000000000002</v>
      </c>
      <c r="AD26" s="75">
        <v>0.51829999999999998</v>
      </c>
      <c r="AE26" s="81">
        <v>0.71</v>
      </c>
      <c r="AF26" s="25">
        <v>0.47020000000000001</v>
      </c>
      <c r="AH26" s="75">
        <v>0.54390000000000005</v>
      </c>
      <c r="AI26" s="81">
        <v>0.76</v>
      </c>
      <c r="AJ26" s="25">
        <v>0.51349999999999996</v>
      </c>
      <c r="AL26" s="75">
        <v>0.54249999999999998</v>
      </c>
      <c r="AM26" s="81">
        <v>0.71</v>
      </c>
      <c r="AN26" s="25">
        <v>0.48459999999999998</v>
      </c>
      <c r="AP26" s="75">
        <v>0.53400000000000003</v>
      </c>
      <c r="AQ26" s="81">
        <v>0.76</v>
      </c>
      <c r="AR26" s="25">
        <v>0.52410000000000001</v>
      </c>
      <c r="AT26" s="75">
        <v>0.51700000000000002</v>
      </c>
      <c r="AU26" s="81">
        <v>0.74</v>
      </c>
      <c r="AV26" s="25">
        <v>0.4884</v>
      </c>
      <c r="AX26" s="75">
        <v>0.51680000000000004</v>
      </c>
      <c r="AY26" s="81">
        <v>0.74</v>
      </c>
      <c r="AZ26" s="25">
        <v>0.50509999999999999</v>
      </c>
    </row>
    <row r="27" spans="1:52" ht="16.8" x14ac:dyDescent="0.3">
      <c r="A27"/>
      <c r="B27" s="86" t="s">
        <v>5</v>
      </c>
      <c r="C27" s="78">
        <f>D26/D27-1</f>
        <v>0.44440866274857127</v>
      </c>
      <c r="D27" s="29">
        <f>(N27+R27+V27+Z27+AD27+AH27+AL27+AP27+AT27+AX27)/10</f>
        <v>0.37263000000000002</v>
      </c>
      <c r="E27" s="29">
        <f>SQRT(((N27-D27)^2+(R27-D27)^2+(V27-D27)^2+(Z27-D27)^2+(AD27-D27)^2+(AH27-D27)^2+(AL27-D27)^2+(AP27-D27)^2+(AT27-D27)^2+(AX27-D27)^2)/10)</f>
        <v>1.6933165681584764E-2</v>
      </c>
      <c r="F27" s="79">
        <f>E27/D27</f>
        <v>4.5442303844523427E-2</v>
      </c>
      <c r="G27" s="15">
        <f>(O27+S27+W27+AA27+AE27+AI27+AM27+AQ27+AU27+AY27)/10</f>
        <v>0.32199999999999995</v>
      </c>
      <c r="H27" s="25">
        <f>SQRT(((O27-G27)^2+(S27-G27)^2+(W27-G27)^2+(AA27-G27)^2+(AE27-G27)^2+(AI27-G27)^2+(AM27-G27)^2+(AQ27-G27)^2+(AU27-G27)^2+(AY27-G27)^2)/10)</f>
        <v>3.5999999999999997E-2</v>
      </c>
      <c r="I27" s="31">
        <f>H27/G27</f>
        <v>0.11180124223602485</v>
      </c>
      <c r="J27" s="25">
        <f>(P27+T27+X27+AB27+AF27+AJ27+AN27+AR27+AV27+AZ27)/10</f>
        <v>0.34712999999999999</v>
      </c>
      <c r="K27" s="25">
        <f>SQRT(((P27-J27)^2+(T27-J27)^2+(X27-J27)^2+(AB27-J27)^2+(AF27-J27)^2+(AJ27-J27)^2+(AN27-J27)^2+(AR27-J27)^2+(AV27-J27)^2+(AZ27-J27)^2)/10)</f>
        <v>2.8374955506573048E-2</v>
      </c>
      <c r="L27" s="31">
        <f>K27/J27</f>
        <v>8.1741582423221992E-2</v>
      </c>
      <c r="N27" s="75">
        <v>0.3543</v>
      </c>
      <c r="O27" s="25">
        <v>0.26</v>
      </c>
      <c r="P27" s="25">
        <v>0.30059999999999998</v>
      </c>
      <c r="R27" s="75">
        <v>0.39229999999999998</v>
      </c>
      <c r="S27" s="81">
        <v>0.35</v>
      </c>
      <c r="T27" s="82">
        <v>0.36840000000000001</v>
      </c>
      <c r="V27" s="75">
        <v>0.3669</v>
      </c>
      <c r="W27" s="81">
        <v>0.3</v>
      </c>
      <c r="X27" s="82">
        <v>0.33710000000000001</v>
      </c>
      <c r="Z27" s="75">
        <v>0.35110000000000002</v>
      </c>
      <c r="AA27" s="81">
        <v>0.28999999999999998</v>
      </c>
      <c r="AB27" s="82">
        <v>0.31690000000000002</v>
      </c>
      <c r="AD27" s="75">
        <v>0.36659999999999998</v>
      </c>
      <c r="AE27" s="81">
        <v>0.37</v>
      </c>
      <c r="AF27" s="82">
        <v>0.37559999999999999</v>
      </c>
      <c r="AH27" s="75">
        <v>0.38640000000000002</v>
      </c>
      <c r="AI27" s="81">
        <v>0.34</v>
      </c>
      <c r="AJ27" s="82">
        <v>0.37159999999999999</v>
      </c>
      <c r="AL27" s="75">
        <v>0.36680000000000001</v>
      </c>
      <c r="AM27" s="81">
        <v>0.33</v>
      </c>
      <c r="AN27" s="82">
        <v>0.34549999999999997</v>
      </c>
      <c r="AP27" s="75">
        <v>0.3599</v>
      </c>
      <c r="AQ27" s="81">
        <v>0.28000000000000003</v>
      </c>
      <c r="AR27" s="82">
        <v>0.31819999999999998</v>
      </c>
      <c r="AT27" s="75">
        <v>0.37440000000000001</v>
      </c>
      <c r="AU27" s="81">
        <v>0.33</v>
      </c>
      <c r="AV27" s="82">
        <v>0.34379999999999999</v>
      </c>
      <c r="AX27" s="75">
        <v>0.40760000000000002</v>
      </c>
      <c r="AY27" s="81">
        <v>0.37</v>
      </c>
      <c r="AZ27" s="82">
        <v>0.39360000000000001</v>
      </c>
    </row>
    <row r="28" spans="1:52" ht="16.8" x14ac:dyDescent="0.3">
      <c r="A28" s="3"/>
      <c r="B28" s="86" t="s">
        <v>1</v>
      </c>
      <c r="C28" s="87">
        <f>D26/D28-1</f>
        <v>6.3191371681416086E-2</v>
      </c>
      <c r="D28" s="29">
        <f>(N28+R28+V28+Z28+AD28+AH28+AL28+AP28+AT28+AX28)/10</f>
        <v>0.50624000000000002</v>
      </c>
      <c r="E28" s="29">
        <f>SQRT(((N28-D28)^2+(R28-D28)^2+(V28-D28)^2+(Z28-D28)^2+(AD28-D28)^2+(AH28-D28)^2+(AL28-D28)^2+(AP28-D28)^2+(AT28-D28)^2+(AX28-D28)^2)/10)</f>
        <v>1.9672884892663816E-2</v>
      </c>
      <c r="F28" s="79">
        <f>E28/D28</f>
        <v>3.8860787161551467E-2</v>
      </c>
      <c r="G28" s="15">
        <f>(O28+S28+W28+AA28+AE28+AI28+AM28+AQ28+AU28+AY28)/10</f>
        <v>0.81600000000000006</v>
      </c>
      <c r="H28" s="25">
        <f>SQRT(((O28-G28)^2+(S28-G28)^2+(W28-G28)^2+(AA28-G28)^2+(AE28-G28)^2+(AI28-G28)^2+(AM28-G28)^2+(AQ28-G28)^2+(AU28-G28)^2+(AY28-G28)^2)/10)</f>
        <v>2.3323807579381173E-2</v>
      </c>
      <c r="I28" s="31">
        <f>H28/G28</f>
        <v>2.8583097523751436E-2</v>
      </c>
      <c r="J28" s="25">
        <f>(P28+T28+X28+AB28+AF28+AJ28+AN28+AR28+AV28+AZ28)/10</f>
        <v>0.48718000000000006</v>
      </c>
      <c r="K28" s="25">
        <f>SQRT(((P28-J28)^2+(T28-J28)^2+(X28-J28)^2+(AB28-J28)^2+(AF28-J28)^2+(AJ28-J28)^2+(AN28-J28)^2+(AR28-J28)^2+(AV28-J28)^2+(AZ28-J28)^2)/10)</f>
        <v>1.2862332603381085E-2</v>
      </c>
      <c r="L28" s="31">
        <f>K28/J28</f>
        <v>2.6401602289464025E-2</v>
      </c>
      <c r="N28" s="75">
        <v>0.50690000000000002</v>
      </c>
      <c r="O28" s="25">
        <v>0.82</v>
      </c>
      <c r="P28" s="25">
        <v>0.47399999999999998</v>
      </c>
      <c r="R28" s="75">
        <v>0.51170000000000004</v>
      </c>
      <c r="S28" s="81">
        <v>0.78</v>
      </c>
      <c r="T28" s="83">
        <v>0.50490000000000002</v>
      </c>
      <c r="V28" s="75">
        <v>0.48089999999999999</v>
      </c>
      <c r="W28" s="81">
        <v>0.78</v>
      </c>
      <c r="X28" s="83">
        <v>0.46850000000000003</v>
      </c>
      <c r="Z28" s="75">
        <v>0.50790000000000002</v>
      </c>
      <c r="AA28" s="81">
        <v>0.81</v>
      </c>
      <c r="AB28" s="83">
        <v>0.4894</v>
      </c>
      <c r="AD28" s="75">
        <v>0.50239999999999996</v>
      </c>
      <c r="AE28" s="81">
        <v>0.84</v>
      </c>
      <c r="AF28" s="83">
        <v>0.48</v>
      </c>
      <c r="AH28" s="75">
        <v>0.4748</v>
      </c>
      <c r="AI28" s="81">
        <v>0.85</v>
      </c>
      <c r="AJ28" s="83">
        <v>0.48430000000000001</v>
      </c>
      <c r="AL28" s="75">
        <v>0.51759999999999995</v>
      </c>
      <c r="AM28" s="81">
        <v>0.83</v>
      </c>
      <c r="AN28" s="83">
        <v>0.48820000000000002</v>
      </c>
      <c r="AP28" s="75">
        <v>0.54600000000000004</v>
      </c>
      <c r="AQ28" s="81">
        <v>0.8</v>
      </c>
      <c r="AR28" s="83">
        <v>0.50790000000000002</v>
      </c>
      <c r="AT28" s="75">
        <v>0.49159999999999998</v>
      </c>
      <c r="AU28" s="81">
        <v>0.84</v>
      </c>
      <c r="AV28" s="83">
        <v>0.47460000000000002</v>
      </c>
      <c r="AX28" s="75">
        <v>0.52259999999999995</v>
      </c>
      <c r="AY28" s="81">
        <v>0.81</v>
      </c>
      <c r="AZ28" s="83">
        <v>0.5</v>
      </c>
    </row>
    <row r="29" spans="1:52" ht="16.8" x14ac:dyDescent="0.3">
      <c r="A29"/>
      <c r="B29" s="86" t="s">
        <v>11</v>
      </c>
      <c r="C29" s="78">
        <f>D26/D29-1</f>
        <v>2.6956193353474323</v>
      </c>
      <c r="D29" s="29">
        <f>(N29+R29+V29+Z29+AD29+AH29+AL29+AP29+AT29+AX29)/10</f>
        <v>0.14564000000000002</v>
      </c>
      <c r="E29" s="29">
        <f>SQRT(((N29-D29)^2+(R29-D29)^2+(V29-D29)^2+(Z29-D29)^2+(AD29-D29)^2+(AH29-D29)^2+(AL29-D29)^2+(AP29-D29)^2+(AT29-D29)^2+(AX29-D29)^2)/10)</f>
        <v>1.175739767125362E-2</v>
      </c>
      <c r="F29" s="79">
        <f>E29/D29</f>
        <v>8.0729179286278624E-2</v>
      </c>
      <c r="G29" s="15">
        <f>(O29+S29+W29+AA29+AE29+AI29+AM29+AQ29+AU29+AY29)/10</f>
        <v>0.41600000000000004</v>
      </c>
      <c r="H29" s="25">
        <f>SQRT(((O29-G29)^2+(S29-G29)^2+(W29-G29)^2+(AA29-G29)^2+(AE29-G29)^2+(AI29-G29)^2+(AM29-G29)^2+(AQ29-G29)^2+(AU29-G29)^2+(AY29-G29)^2)/10)</f>
        <v>5.0635955604688657E-2</v>
      </c>
      <c r="I29" s="31">
        <f>H29/G29</f>
        <v>0.12172104712665541</v>
      </c>
      <c r="J29" s="25">
        <f>(P29+T29+X29+AB29+AF29+AJ29+AN29+AR29+AV29+AZ29)/10</f>
        <v>0.21801999999999996</v>
      </c>
      <c r="K29" s="25">
        <f>SQRT(((P29-J29)^2+(T29-J29)^2+(X29-J29)^2+(AB29-J29)^2+(AF29-J29)^2+(AJ29-J29)^2+(AN29-J29)^2+(AR29-J29)^2+(AV29-J29)^2+(AZ29-J29)^2)/10)</f>
        <v>2.8448050899841978E-2</v>
      </c>
      <c r="L29" s="31">
        <f>K29/J29</f>
        <v>0.13048367535016045</v>
      </c>
      <c r="N29" s="75">
        <v>0.16420000000000001</v>
      </c>
      <c r="O29" s="81">
        <v>0.46</v>
      </c>
      <c r="P29" s="25">
        <v>0.25209999999999999</v>
      </c>
      <c r="R29" s="75">
        <v>0.16339999999999999</v>
      </c>
      <c r="S29" s="81">
        <v>0.5</v>
      </c>
      <c r="T29" s="83">
        <v>0.26669999999999999</v>
      </c>
      <c r="V29" s="75">
        <v>0.1343</v>
      </c>
      <c r="W29" s="81">
        <v>0.38</v>
      </c>
      <c r="X29" s="83">
        <v>0.19789999999999999</v>
      </c>
      <c r="Z29" s="75">
        <v>0.14269999999999999</v>
      </c>
      <c r="AA29" s="81">
        <v>0.46</v>
      </c>
      <c r="AB29" s="83">
        <v>0.23830000000000001</v>
      </c>
      <c r="AD29" s="75">
        <v>0.1615</v>
      </c>
      <c r="AE29" s="81">
        <v>0.48</v>
      </c>
      <c r="AF29" s="83">
        <v>0.2487</v>
      </c>
      <c r="AH29" s="75">
        <v>0.13400000000000001</v>
      </c>
      <c r="AI29" s="81">
        <v>0.4</v>
      </c>
      <c r="AJ29" s="83">
        <v>0.20300000000000001</v>
      </c>
      <c r="AL29" s="75">
        <v>0.1431</v>
      </c>
      <c r="AM29" s="81">
        <v>0.36</v>
      </c>
      <c r="AN29" s="83">
        <v>0.192</v>
      </c>
      <c r="AO29" s="34"/>
      <c r="AP29" s="84">
        <v>0.1363</v>
      </c>
      <c r="AQ29" s="85">
        <v>0.39</v>
      </c>
      <c r="AR29" s="83">
        <v>0.20369999999999999</v>
      </c>
      <c r="AT29" s="75">
        <v>0.13919999999999999</v>
      </c>
      <c r="AU29" s="81">
        <v>0.37</v>
      </c>
      <c r="AV29" s="83">
        <v>0.1883</v>
      </c>
      <c r="AX29" s="75">
        <v>0.13769999999999999</v>
      </c>
      <c r="AY29" s="81">
        <v>0.36</v>
      </c>
      <c r="AZ29" s="83">
        <v>0.1895</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0.27964140417549799</v>
      </c>
      <c r="D33" s="29">
        <f>(N33+R33+V33+Z33+AD33+AH33+AL33+AP33+AT33+AX33)/10</f>
        <v>0.41048999999999997</v>
      </c>
      <c r="E33" s="29">
        <f>SQRT(((N33-D33)^2+(R33-D33)^2+(V33-D33)^2+(Z33-D33)^2+(AD33-D33)^2+(AH33-D33)^2+(AL33-D33)^2+(AP33-D33)^2+(AT33-D33)^2+(AX33-D33)^2)/10)</f>
        <v>8.4127819417835689E-3</v>
      </c>
      <c r="F33" s="79">
        <f>E33/D33</f>
        <v>2.0494486934599064E-2</v>
      </c>
      <c r="G33" s="15">
        <f>(O33+S33+W33+AA33+AE33+AI33+AM33+AQ33+AU33+AY33)/10</f>
        <v>0.74499999999999988</v>
      </c>
      <c r="H33" s="25">
        <f>SQRT(((O33-G33)^2+(S33-G33)^2+(W33-G33)^2+(AA33-G33)^2+(AE33-G33)^2+(AI33-G33)^2+(AM33-G33)^2+(AQ33-G33)^2+(AU33-G33)^2+(AY33-G33)^2)/10)</f>
        <v>1.2845232578665142E-2</v>
      </c>
      <c r="I33" s="31">
        <f>H33/G33</f>
        <v>1.7241922924382744E-2</v>
      </c>
      <c r="J33" s="25">
        <f>(P33+T33+X33+AB33+AF33+AJ33+AN33+AR33+AV33+AZ33)/10</f>
        <v>0.46303</v>
      </c>
      <c r="K33" s="25">
        <f>SQRT(((P33-J33)^2+(T33-J33)^2+(X33-J33)^2+(AB33-J33)^2+(AF33-J33)^2+(AJ33-J33)^2+(AN33-J33)^2+(AR33-J33)^2+(AV33-J33)^2+(AZ33-J33)^2)/10)</f>
        <v>2.3413884769512318E-3</v>
      </c>
      <c r="L33" s="31">
        <f>K33/J33</f>
        <v>5.0566669048468385E-3</v>
      </c>
      <c r="N33" s="75">
        <v>0.41839999999999999</v>
      </c>
      <c r="O33" s="81">
        <v>0.73</v>
      </c>
      <c r="P33" s="25">
        <v>0.46060000000000001</v>
      </c>
      <c r="R33" s="75">
        <v>0.4078</v>
      </c>
      <c r="S33" s="81">
        <v>0.74</v>
      </c>
      <c r="T33" s="25">
        <v>0.45960000000000001</v>
      </c>
      <c r="V33" s="75">
        <v>0.40250000000000002</v>
      </c>
      <c r="W33" s="81">
        <v>0.76</v>
      </c>
      <c r="X33" s="25">
        <v>0.46339999999999998</v>
      </c>
      <c r="Z33" s="75">
        <v>0.42409999999999998</v>
      </c>
      <c r="AA33" s="81">
        <v>0.73</v>
      </c>
      <c r="AB33" s="25">
        <v>0.46650000000000003</v>
      </c>
      <c r="AD33" s="75">
        <v>0.4078</v>
      </c>
      <c r="AE33" s="81">
        <v>0.74</v>
      </c>
      <c r="AF33" s="25">
        <v>0.45960000000000001</v>
      </c>
      <c r="AH33" s="75">
        <v>0.40250000000000002</v>
      </c>
      <c r="AI33" s="81">
        <v>0.76</v>
      </c>
      <c r="AJ33" s="25">
        <v>0.46339999999999998</v>
      </c>
      <c r="AL33" s="75">
        <v>0.40250000000000002</v>
      </c>
      <c r="AM33" s="81">
        <v>0.76</v>
      </c>
      <c r="AN33" s="25">
        <v>0.46339999999999998</v>
      </c>
      <c r="AP33" s="75">
        <v>0.41270000000000001</v>
      </c>
      <c r="AQ33" s="81">
        <v>0.74</v>
      </c>
      <c r="AR33" s="25">
        <v>0.46389999999999998</v>
      </c>
      <c r="AT33" s="75">
        <v>0.40250000000000002</v>
      </c>
      <c r="AU33" s="81">
        <v>0.76</v>
      </c>
      <c r="AV33" s="25">
        <v>0.46339999999999998</v>
      </c>
      <c r="AX33" s="75">
        <v>0.42409999999999998</v>
      </c>
      <c r="AY33" s="81">
        <v>0.73</v>
      </c>
      <c r="AZ33" s="25">
        <v>0.46650000000000003</v>
      </c>
    </row>
    <row r="34" spans="1:52" ht="33.6" x14ac:dyDescent="0.3">
      <c r="A34" s="3"/>
      <c r="B34" s="86" t="s">
        <v>46</v>
      </c>
      <c r="C34" s="80"/>
      <c r="D34" s="29">
        <f>(N34+R34+V34+Z34+AD34+AH34+AL34+AP34+AT34+AX34)/10</f>
        <v>0.52528000000000008</v>
      </c>
      <c r="E34" s="29">
        <f>SQRT(((N34-D34)^2+(R34-D34)^2+(V34-D34)^2+(Z34-D34)^2+(AD34-D34)^2+(AH34-D34)^2+(AL34-D34)^2+(AP34-D34)^2+(AT34-D34)^2+(AX34-D34)^2)/10)</f>
        <v>1.8537141095649034E-2</v>
      </c>
      <c r="F34" s="79">
        <f>E34/D34</f>
        <v>3.5290018838807932E-2</v>
      </c>
      <c r="G34" s="15">
        <f>(O34+S34+W34+AA34+AE34+AI34+AM34+AQ34+AU34+AY34)/10</f>
        <v>0.70799999999999996</v>
      </c>
      <c r="H34" s="25">
        <f>SQRT(((O34-G34)^2+(S34-G34)^2+(W34-G34)^2+(AA34-G34)^2+(AE34-G34)^2+(AI34-G34)^2+(AM34-G34)^2+(AQ34-G34)^2+(AU34-G34)^2+(AY34-G34)^2)/10)</f>
        <v>2.3579652245103173E-2</v>
      </c>
      <c r="I34" s="62">
        <f>H34/G34</f>
        <v>3.3304593566529907E-2</v>
      </c>
      <c r="J34" s="25">
        <f>(P34+T34+X34+AB34+AF34+AJ34+AN34+AR34+AV34+AZ34)/10</f>
        <v>0.48902000000000001</v>
      </c>
      <c r="K34" s="25">
        <f>SQRT(((P34-J34)^2+(T34-J34)^2+(X34-J34)^2+(AB34-J34)^2+(AF34-J34)^2+(AJ34-J34)^2+(AN34-J34)^2+(AR34-J34)^2+(AV34-J34)^2+(AZ34-J34)^2)/10)</f>
        <v>1.848960789200247E-2</v>
      </c>
      <c r="L34" s="62">
        <f>K34/J34</f>
        <v>3.7809512682512925E-2</v>
      </c>
      <c r="N34" s="75">
        <v>0.48859999999999998</v>
      </c>
      <c r="O34" s="81">
        <v>0.66</v>
      </c>
      <c r="P34" s="25">
        <v>0.45989999999999998</v>
      </c>
      <c r="R34" s="75">
        <v>0.53569999999999995</v>
      </c>
      <c r="S34" s="81">
        <v>0.73</v>
      </c>
      <c r="T34" s="25">
        <v>0.51229999999999998</v>
      </c>
      <c r="V34" s="75">
        <v>0.53490000000000004</v>
      </c>
      <c r="W34" s="81">
        <v>0.7</v>
      </c>
      <c r="X34" s="25">
        <v>0.50719999999999998</v>
      </c>
      <c r="Z34" s="75">
        <v>0.52180000000000004</v>
      </c>
      <c r="AA34" s="81">
        <v>0.72</v>
      </c>
      <c r="AB34" s="25">
        <v>0.49659999999999999</v>
      </c>
      <c r="AD34" s="75">
        <v>0.4914</v>
      </c>
      <c r="AE34" s="81">
        <v>0.68</v>
      </c>
      <c r="AF34" s="25">
        <v>0.47549999999999998</v>
      </c>
      <c r="AH34" s="75">
        <v>0.53600000000000003</v>
      </c>
      <c r="AI34" s="81">
        <v>0.73</v>
      </c>
      <c r="AJ34" s="25">
        <v>0.5141</v>
      </c>
      <c r="AL34" s="75">
        <v>0.5363</v>
      </c>
      <c r="AM34" s="81">
        <v>0.7</v>
      </c>
      <c r="AN34" s="25">
        <v>0.4844</v>
      </c>
      <c r="AP34" s="75">
        <v>0.52659999999999996</v>
      </c>
      <c r="AQ34" s="81">
        <v>0.7</v>
      </c>
      <c r="AR34" s="25">
        <v>0.46510000000000001</v>
      </c>
      <c r="AT34" s="75">
        <v>0.54330000000000001</v>
      </c>
      <c r="AU34" s="81">
        <v>0.74</v>
      </c>
      <c r="AV34" s="25">
        <v>0.49830000000000002</v>
      </c>
      <c r="AX34" s="75">
        <v>0.53820000000000001</v>
      </c>
      <c r="AY34" s="81">
        <v>0.72</v>
      </c>
      <c r="AZ34" s="25">
        <v>0.4768</v>
      </c>
    </row>
    <row r="35" spans="1:52" ht="16.8" x14ac:dyDescent="0.3">
      <c r="B35" s="86" t="s">
        <v>5</v>
      </c>
      <c r="C35" s="78">
        <f>D34/D35-1</f>
        <v>0.40965569063145768</v>
      </c>
      <c r="D35" s="29">
        <f>(N35+R35+V35+Z35+AD35+AH35+AL35+AP35+AT35+AX35)/10</f>
        <v>0.37263000000000002</v>
      </c>
      <c r="E35" s="29">
        <f>SQRT(((N35-D35)^2+(R35-D35)^2+(V35-D35)^2+(Z35-D35)^2+(AD35-D35)^2+(AH35-D35)^2+(AL35-D35)^2+(AP35-D35)^2+(AT35-D35)^2+(AX35-D35)^2)/10)</f>
        <v>1.6933165681584764E-2</v>
      </c>
      <c r="F35" s="79">
        <f>E35/D35</f>
        <v>4.5442303844523427E-2</v>
      </c>
      <c r="G35" s="15">
        <f>(O35+S35+W35+AA35+AE35+AI35+AM35+AQ35+AU35+AY35)/10</f>
        <v>0.32199999999999995</v>
      </c>
      <c r="H35" s="25">
        <f>SQRT(((O35-G35)^2+(S35-G35)^2+(W35-G35)^2+(AA35-G35)^2+(AE35-G35)^2+(AI35-G35)^2+(AM35-G35)^2+(AQ35-G35)^2+(AU35-G35)^2+(AY35-G35)^2)/10)</f>
        <v>3.5999999999999997E-2</v>
      </c>
      <c r="I35" s="31">
        <f>H35/G35</f>
        <v>0.11180124223602485</v>
      </c>
      <c r="J35" s="25">
        <f>(P35+T35+X35+AB35+AF35+AJ35+AN35+AR35+AV35+AZ35)/10</f>
        <v>0.34712999999999999</v>
      </c>
      <c r="K35" s="25">
        <f>SQRT(((P35-J35)^2+(T35-J35)^2+(X35-J35)^2+(AB35-J35)^2+(AF35-J35)^2+(AJ35-J35)^2+(AN35-J35)^2+(AR35-J35)^2+(AV35-J35)^2+(AZ35-J35)^2)/10)</f>
        <v>2.8374955506573048E-2</v>
      </c>
      <c r="L35" s="31">
        <f>K35/J35</f>
        <v>8.1741582423221992E-2</v>
      </c>
      <c r="N35" s="75">
        <v>0.3543</v>
      </c>
      <c r="O35" s="25">
        <v>0.26</v>
      </c>
      <c r="P35" s="25">
        <v>0.30059999999999998</v>
      </c>
      <c r="R35" s="75">
        <v>0.39229999999999998</v>
      </c>
      <c r="S35" s="81">
        <v>0.35</v>
      </c>
      <c r="T35" s="82">
        <v>0.36840000000000001</v>
      </c>
      <c r="V35" s="75">
        <v>0.3669</v>
      </c>
      <c r="W35" s="81">
        <v>0.3</v>
      </c>
      <c r="X35" s="82">
        <v>0.33710000000000001</v>
      </c>
      <c r="Z35" s="75">
        <v>0.35110000000000002</v>
      </c>
      <c r="AA35" s="81">
        <v>0.28999999999999998</v>
      </c>
      <c r="AB35" s="82">
        <v>0.31690000000000002</v>
      </c>
      <c r="AD35" s="75">
        <v>0.36659999999999998</v>
      </c>
      <c r="AE35" s="81">
        <v>0.37</v>
      </c>
      <c r="AF35" s="82">
        <v>0.37559999999999999</v>
      </c>
      <c r="AH35" s="75">
        <v>0.38640000000000002</v>
      </c>
      <c r="AI35" s="81">
        <v>0.34</v>
      </c>
      <c r="AJ35" s="82">
        <v>0.37159999999999999</v>
      </c>
      <c r="AL35" s="75">
        <v>0.36680000000000001</v>
      </c>
      <c r="AM35" s="81">
        <v>0.33</v>
      </c>
      <c r="AN35" s="82">
        <v>0.34549999999999997</v>
      </c>
      <c r="AP35" s="75">
        <v>0.3599</v>
      </c>
      <c r="AQ35" s="81">
        <v>0.28000000000000003</v>
      </c>
      <c r="AR35" s="82">
        <v>0.31819999999999998</v>
      </c>
      <c r="AT35" s="75">
        <v>0.37440000000000001</v>
      </c>
      <c r="AU35" s="81">
        <v>0.33</v>
      </c>
      <c r="AV35" s="82">
        <v>0.34379999999999999</v>
      </c>
      <c r="AX35" s="75">
        <v>0.40760000000000002</v>
      </c>
      <c r="AY35" s="81">
        <v>0.37</v>
      </c>
      <c r="AZ35" s="82">
        <v>0.39360000000000001</v>
      </c>
    </row>
    <row r="36" spans="1:52" ht="16.8" x14ac:dyDescent="0.3">
      <c r="B36" s="86" t="s">
        <v>1</v>
      </c>
      <c r="C36" s="87">
        <f>D34/D36-1</f>
        <v>3.7610619469026663E-2</v>
      </c>
      <c r="D36" s="29">
        <f>(N36+R36+V36+Z36+AD36+AH36+AL36+AP36+AT36+AX36)/10</f>
        <v>0.50624000000000002</v>
      </c>
      <c r="E36" s="29">
        <f>SQRT(((N36-D36)^2+(R36-D36)^2+(V36-D36)^2+(Z36-D36)^2+(AD36-D36)^2+(AH36-D36)^2+(AL36-D36)^2+(AP36-D36)^2+(AT36-D36)^2+(AX36-D36)^2)/10)</f>
        <v>1.9672884892663816E-2</v>
      </c>
      <c r="F36" s="79">
        <f>E36/D36</f>
        <v>3.8860787161551467E-2</v>
      </c>
      <c r="G36" s="15">
        <f>(O36+S36+W36+AA36+AE36+AI36+AM36+AQ36+AU36+AY36)/10</f>
        <v>0.81600000000000006</v>
      </c>
      <c r="H36" s="25">
        <f>SQRT(((O36-G36)^2+(S36-G36)^2+(W36-G36)^2+(AA36-G36)^2+(AE36-G36)^2+(AI36-G36)^2+(AM36-G36)^2+(AQ36-G36)^2+(AU36-G36)^2+(AY36-G36)^2)/10)</f>
        <v>2.3323807579381173E-2</v>
      </c>
      <c r="I36" s="31">
        <f>H36/G36</f>
        <v>2.8583097523751436E-2</v>
      </c>
      <c r="J36" s="25">
        <f>(P36+T36+X36+AB36+AF36+AJ36+AN36+AR36+AV36+AZ36)/10</f>
        <v>0.48718000000000006</v>
      </c>
      <c r="K36" s="25">
        <f>SQRT(((P36-J36)^2+(T36-J36)^2+(X36-J36)^2+(AB36-J36)^2+(AF36-J36)^2+(AJ36-J36)^2+(AN36-J36)^2+(AR36-J36)^2+(AV36-J36)^2+(AZ36-J36)^2)/10)</f>
        <v>1.2862332603381085E-2</v>
      </c>
      <c r="L36" s="31">
        <f>K36/J36</f>
        <v>2.6401602289464025E-2</v>
      </c>
      <c r="N36" s="75">
        <v>0.50690000000000002</v>
      </c>
      <c r="O36" s="25">
        <v>0.82</v>
      </c>
      <c r="P36" s="25">
        <v>0.47399999999999998</v>
      </c>
      <c r="R36" s="75">
        <v>0.51170000000000004</v>
      </c>
      <c r="S36" s="81">
        <v>0.78</v>
      </c>
      <c r="T36" s="83">
        <v>0.50490000000000002</v>
      </c>
      <c r="V36" s="75">
        <v>0.48089999999999999</v>
      </c>
      <c r="W36" s="81">
        <v>0.78</v>
      </c>
      <c r="X36" s="83">
        <v>0.46850000000000003</v>
      </c>
      <c r="Z36" s="75">
        <v>0.50790000000000002</v>
      </c>
      <c r="AA36" s="81">
        <v>0.81</v>
      </c>
      <c r="AB36" s="83">
        <v>0.4894</v>
      </c>
      <c r="AD36" s="75">
        <v>0.50239999999999996</v>
      </c>
      <c r="AE36" s="81">
        <v>0.84</v>
      </c>
      <c r="AF36" s="83">
        <v>0.48</v>
      </c>
      <c r="AH36" s="75">
        <v>0.4748</v>
      </c>
      <c r="AI36" s="81">
        <v>0.85</v>
      </c>
      <c r="AJ36" s="83">
        <v>0.48430000000000001</v>
      </c>
      <c r="AL36" s="75">
        <v>0.51759999999999995</v>
      </c>
      <c r="AM36" s="81">
        <v>0.83</v>
      </c>
      <c r="AN36" s="83">
        <v>0.48820000000000002</v>
      </c>
      <c r="AP36" s="75">
        <v>0.54600000000000004</v>
      </c>
      <c r="AQ36" s="81">
        <v>0.8</v>
      </c>
      <c r="AR36" s="83">
        <v>0.50790000000000002</v>
      </c>
      <c r="AT36" s="75">
        <v>0.49159999999999998</v>
      </c>
      <c r="AU36" s="81">
        <v>0.84</v>
      </c>
      <c r="AV36" s="83">
        <v>0.47460000000000002</v>
      </c>
      <c r="AX36" s="75">
        <v>0.52259999999999995</v>
      </c>
      <c r="AY36" s="81">
        <v>0.81</v>
      </c>
      <c r="AZ36" s="83">
        <v>0.5</v>
      </c>
    </row>
    <row r="37" spans="1:52" ht="16.8" x14ac:dyDescent="0.3">
      <c r="B37" s="86" t="s">
        <v>11</v>
      </c>
      <c r="C37" s="78">
        <f>D34/D37-1</f>
        <v>2.6067014556440538</v>
      </c>
      <c r="D37" s="29">
        <f>(N37+R37+V37+Z37+AD37+AH37+AL37+AP37+AT37+AX37)/10</f>
        <v>0.14564000000000002</v>
      </c>
      <c r="E37" s="29">
        <f>SQRT(((N37-D37)^2+(R37-D37)^2+(V37-D37)^2+(Z37-D37)^2+(AD37-D37)^2+(AH37-D37)^2+(AL37-D37)^2+(AP37-D37)^2+(AT37-D37)^2+(AX37-D37)^2)/10)</f>
        <v>1.175739767125362E-2</v>
      </c>
      <c r="F37" s="79">
        <f>E37/D37</f>
        <v>8.0729179286278624E-2</v>
      </c>
      <c r="G37" s="15">
        <f>(O37+S37+W37+AA37+AE37+AI37+AM37+AQ37+AU37+AY37)/10</f>
        <v>0.41600000000000004</v>
      </c>
      <c r="H37" s="25">
        <f>SQRT(((O37-G37)^2+(S37-G37)^2+(W37-G37)^2+(AA37-G37)^2+(AE37-G37)^2+(AI37-G37)^2+(AM37-G37)^2+(AQ37-G37)^2+(AU37-G37)^2+(AY37-G37)^2)/10)</f>
        <v>5.0635955604688657E-2</v>
      </c>
      <c r="I37" s="31">
        <f>H37/G37</f>
        <v>0.12172104712665541</v>
      </c>
      <c r="J37" s="25">
        <f>(P37+T37+X37+AB37+AF37+AJ37+AN37+AR37+AV37+AZ37)/10</f>
        <v>0.21801999999999996</v>
      </c>
      <c r="K37" s="25">
        <f>SQRT(((P37-J37)^2+(T37-J37)^2+(X37-J37)^2+(AB37-J37)^2+(AF37-J37)^2+(AJ37-J37)^2+(AN37-J37)^2+(AR37-J37)^2+(AV37-J37)^2+(AZ37-J37)^2)/10)</f>
        <v>2.8448050899841978E-2</v>
      </c>
      <c r="L37" s="31">
        <f>K37/J37</f>
        <v>0.13048367535016045</v>
      </c>
      <c r="N37" s="75">
        <v>0.16420000000000001</v>
      </c>
      <c r="O37" s="81">
        <v>0.46</v>
      </c>
      <c r="P37" s="25">
        <v>0.25209999999999999</v>
      </c>
      <c r="R37" s="75">
        <v>0.16339999999999999</v>
      </c>
      <c r="S37" s="81">
        <v>0.5</v>
      </c>
      <c r="T37" s="83">
        <v>0.26669999999999999</v>
      </c>
      <c r="V37" s="75">
        <v>0.1343</v>
      </c>
      <c r="W37" s="81">
        <v>0.38</v>
      </c>
      <c r="X37" s="83">
        <v>0.19789999999999999</v>
      </c>
      <c r="Z37" s="75">
        <v>0.14269999999999999</v>
      </c>
      <c r="AA37" s="81">
        <v>0.46</v>
      </c>
      <c r="AB37" s="83">
        <v>0.23830000000000001</v>
      </c>
      <c r="AD37" s="75">
        <v>0.1615</v>
      </c>
      <c r="AE37" s="81">
        <v>0.48</v>
      </c>
      <c r="AF37" s="83">
        <v>0.2487</v>
      </c>
      <c r="AH37" s="75">
        <v>0.13400000000000001</v>
      </c>
      <c r="AI37" s="81">
        <v>0.4</v>
      </c>
      <c r="AJ37" s="83">
        <v>0.20300000000000001</v>
      </c>
      <c r="AL37" s="75">
        <v>0.1431</v>
      </c>
      <c r="AM37" s="81">
        <v>0.36</v>
      </c>
      <c r="AN37" s="83">
        <v>0.192</v>
      </c>
      <c r="AO37" s="34"/>
      <c r="AP37" s="84">
        <v>0.1363</v>
      </c>
      <c r="AQ37" s="85">
        <v>0.39</v>
      </c>
      <c r="AR37" s="83">
        <v>0.20369999999999999</v>
      </c>
      <c r="AT37" s="75">
        <v>0.13919999999999999</v>
      </c>
      <c r="AU37" s="81">
        <v>0.37</v>
      </c>
      <c r="AV37" s="83">
        <v>0.1883</v>
      </c>
      <c r="AX37" s="75">
        <v>0.13769999999999999</v>
      </c>
      <c r="AY37" s="81">
        <v>0.36</v>
      </c>
      <c r="AZ37" s="83">
        <v>0.1895</v>
      </c>
    </row>
  </sheetData>
  <mergeCells count="110">
    <mergeCell ref="AX6:AZ6"/>
    <mergeCell ref="C7:C8"/>
    <mergeCell ref="D7:F7"/>
    <mergeCell ref="G7:I7"/>
    <mergeCell ref="J7:L7"/>
    <mergeCell ref="N7:N8"/>
    <mergeCell ref="O7:P7"/>
    <mergeCell ref="B2:AZ2"/>
    <mergeCell ref="B3:AZ3"/>
    <mergeCell ref="N5:AZ5"/>
    <mergeCell ref="G6:K6"/>
    <mergeCell ref="N6:P6"/>
    <mergeCell ref="R6:T6"/>
    <mergeCell ref="V6:X6"/>
    <mergeCell ref="Z6:AB6"/>
    <mergeCell ref="AD6:AF6"/>
    <mergeCell ref="AH6:AJ6"/>
    <mergeCell ref="R7:R8"/>
    <mergeCell ref="S7:T7"/>
    <mergeCell ref="V7:V8"/>
    <mergeCell ref="W7:X7"/>
    <mergeCell ref="Z7:Z8"/>
    <mergeCell ref="AA7:AB7"/>
    <mergeCell ref="AL6:AN6"/>
    <mergeCell ref="AP6:AR6"/>
    <mergeCell ref="AT6:AV6"/>
    <mergeCell ref="AP7:AP8"/>
    <mergeCell ref="AQ7:AR7"/>
    <mergeCell ref="AT7:AT8"/>
    <mergeCell ref="AU7:AV7"/>
    <mergeCell ref="AX7:AX8"/>
    <mergeCell ref="AY7:AZ7"/>
    <mergeCell ref="AD7:AD8"/>
    <mergeCell ref="AE7:AF7"/>
    <mergeCell ref="AH7:AH8"/>
    <mergeCell ref="AI7:AJ7"/>
    <mergeCell ref="AL7:AL8"/>
    <mergeCell ref="AM7:AN7"/>
    <mergeCell ref="R15:R16"/>
    <mergeCell ref="S15:T15"/>
    <mergeCell ref="V15:V16"/>
    <mergeCell ref="W15:X15"/>
    <mergeCell ref="Z15:Z16"/>
    <mergeCell ref="AA15:AB15"/>
    <mergeCell ref="C15:C16"/>
    <mergeCell ref="D15:F15"/>
    <mergeCell ref="G15:I15"/>
    <mergeCell ref="J15:L15"/>
    <mergeCell ref="N15:N16"/>
    <mergeCell ref="O15:P15"/>
    <mergeCell ref="AP15:AP16"/>
    <mergeCell ref="AQ15:AR15"/>
    <mergeCell ref="AT15:AT16"/>
    <mergeCell ref="AU15:AV15"/>
    <mergeCell ref="AX15:AX16"/>
    <mergeCell ref="AY15:AZ15"/>
    <mergeCell ref="AD15:AD16"/>
    <mergeCell ref="AE15:AF15"/>
    <mergeCell ref="AH15:AH16"/>
    <mergeCell ref="AI15:AJ15"/>
    <mergeCell ref="AL15:AL16"/>
    <mergeCell ref="AM15:AN15"/>
    <mergeCell ref="R23:R24"/>
    <mergeCell ref="S23:T23"/>
    <mergeCell ref="V23:V24"/>
    <mergeCell ref="W23:X23"/>
    <mergeCell ref="Z23:Z24"/>
    <mergeCell ref="AA23:AB23"/>
    <mergeCell ref="C23:C24"/>
    <mergeCell ref="D23:F23"/>
    <mergeCell ref="G23:I23"/>
    <mergeCell ref="J23:L23"/>
    <mergeCell ref="N23:N24"/>
    <mergeCell ref="O23:P23"/>
    <mergeCell ref="AP23:AP24"/>
    <mergeCell ref="AQ23:AR23"/>
    <mergeCell ref="AT23:AT24"/>
    <mergeCell ref="AU23:AV23"/>
    <mergeCell ref="AX23:AX24"/>
    <mergeCell ref="AY23:AZ23"/>
    <mergeCell ref="AD23:AD24"/>
    <mergeCell ref="AE23:AF23"/>
    <mergeCell ref="AH23:AH24"/>
    <mergeCell ref="AI23:AJ23"/>
    <mergeCell ref="AL23:AL24"/>
    <mergeCell ref="AM23:AN23"/>
    <mergeCell ref="R31:R32"/>
    <mergeCell ref="S31:T31"/>
    <mergeCell ref="V31:V32"/>
    <mergeCell ref="W31:X31"/>
    <mergeCell ref="Z31:Z32"/>
    <mergeCell ref="AA31:AB31"/>
    <mergeCell ref="C31:C32"/>
    <mergeCell ref="D31:F31"/>
    <mergeCell ref="G31:I31"/>
    <mergeCell ref="J31:L31"/>
    <mergeCell ref="N31:N32"/>
    <mergeCell ref="O31:P31"/>
    <mergeCell ref="AP31:AP32"/>
    <mergeCell ref="AQ31:AR31"/>
    <mergeCell ref="AT31:AT32"/>
    <mergeCell ref="AU31:AV31"/>
    <mergeCell ref="AX31:AX32"/>
    <mergeCell ref="AY31:AZ31"/>
    <mergeCell ref="AD31:AD32"/>
    <mergeCell ref="AE31:AF31"/>
    <mergeCell ref="AH31:AH32"/>
    <mergeCell ref="AI31:AJ31"/>
    <mergeCell ref="AL31:AL32"/>
    <mergeCell ref="AM31:AN31"/>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7CDA-DCA0-4A3E-8F90-29E34AE60050}">
  <dimension ref="A1:AZ37"/>
  <sheetViews>
    <sheetView zoomScale="70" zoomScaleNormal="70" workbookViewId="0">
      <selection activeCell="B1" sqref="B1"/>
    </sheetView>
  </sheetViews>
  <sheetFormatPr defaultRowHeight="14.4" x14ac:dyDescent="0.3"/>
  <cols>
    <col min="1" max="1" width="2.5546875" style="17" customWidth="1"/>
    <col min="2" max="2" width="23.5546875" customWidth="1"/>
    <col min="3" max="3" width="10.33203125" style="4" customWidth="1"/>
    <col min="4" max="12" width="10.44140625" customWidth="1"/>
    <col min="13" max="13" width="2.88671875" customWidth="1"/>
    <col min="17" max="17" width="2.44140625" customWidth="1"/>
    <col min="21" max="21" width="2.44140625" customWidth="1"/>
    <col min="25" max="25" width="2.44140625" customWidth="1"/>
    <col min="29" max="29" width="2.44140625" customWidth="1"/>
    <col min="33" max="33" width="2.44140625" customWidth="1"/>
    <col min="37" max="37" width="2.44140625" customWidth="1"/>
    <col min="41" max="41" width="2.44140625" customWidth="1"/>
    <col min="45" max="45" width="2.44140625" customWidth="1"/>
    <col min="49" max="49" width="2.44140625" customWidth="1"/>
  </cols>
  <sheetData>
    <row r="1" spans="1:52" ht="33.6" customHeight="1" x14ac:dyDescent="0.3">
      <c r="B1" s="1" t="s">
        <v>4</v>
      </c>
      <c r="D1" s="4"/>
      <c r="J1" s="76"/>
    </row>
    <row r="2" spans="1:52" ht="65.400000000000006" customHeight="1" x14ac:dyDescent="0.3">
      <c r="B2" s="164" t="s">
        <v>73</v>
      </c>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row>
    <row r="3" spans="1:52" ht="36" customHeight="1" x14ac:dyDescent="0.3">
      <c r="B3" s="164" t="s">
        <v>74</v>
      </c>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row>
    <row r="4" spans="1:52" ht="18.600000000000001" customHeight="1" x14ac:dyDescent="0.3">
      <c r="A4" s="65"/>
      <c r="E4" s="33"/>
      <c r="F4" s="33"/>
      <c r="I4" s="22"/>
      <c r="J4" s="22"/>
      <c r="K4" s="22"/>
      <c r="L4" s="22"/>
      <c r="M4" s="22"/>
      <c r="N4" s="22"/>
      <c r="O4" s="22"/>
      <c r="P4" s="22"/>
    </row>
    <row r="5" spans="1:52" ht="16.5" customHeight="1" x14ac:dyDescent="0.35">
      <c r="A5" s="2"/>
      <c r="B5" s="86" t="s">
        <v>41</v>
      </c>
      <c r="C5" s="33">
        <v>0.22120000000000001</v>
      </c>
      <c r="N5" s="171" t="s">
        <v>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row>
    <row r="6" spans="1:52" ht="29.25" customHeight="1" x14ac:dyDescent="0.3">
      <c r="A6" s="9"/>
      <c r="G6" s="172" t="s">
        <v>42</v>
      </c>
      <c r="H6" s="172"/>
      <c r="I6" s="172"/>
      <c r="J6" s="172"/>
      <c r="K6" s="172"/>
      <c r="L6" s="30"/>
      <c r="N6" s="172">
        <v>42</v>
      </c>
      <c r="O6" s="172"/>
      <c r="P6" s="172"/>
      <c r="R6" s="172">
        <v>43</v>
      </c>
      <c r="S6" s="172"/>
      <c r="T6" s="172"/>
      <c r="V6" s="172">
        <v>44</v>
      </c>
      <c r="W6" s="172"/>
      <c r="X6" s="172"/>
      <c r="Z6" s="172">
        <v>45</v>
      </c>
      <c r="AA6" s="172"/>
      <c r="AB6" s="172"/>
      <c r="AD6" s="172">
        <v>46</v>
      </c>
      <c r="AE6" s="172"/>
      <c r="AF6" s="172"/>
      <c r="AH6" s="172">
        <v>47</v>
      </c>
      <c r="AI6" s="172"/>
      <c r="AJ6" s="172"/>
      <c r="AL6" s="172">
        <v>48</v>
      </c>
      <c r="AM6" s="172"/>
      <c r="AN6" s="172"/>
      <c r="AP6" s="172">
        <v>49</v>
      </c>
      <c r="AQ6" s="172"/>
      <c r="AR6" s="172"/>
      <c r="AT6" s="172">
        <v>50</v>
      </c>
      <c r="AU6" s="172"/>
      <c r="AV6" s="172"/>
      <c r="AX6" s="172">
        <v>51</v>
      </c>
      <c r="AY6" s="172"/>
      <c r="AZ6" s="172"/>
    </row>
    <row r="7" spans="1:52" ht="18" customHeight="1" x14ac:dyDescent="0.3">
      <c r="A7" s="9"/>
      <c r="C7" s="167" t="s">
        <v>43</v>
      </c>
      <c r="D7" s="165" t="s">
        <v>3</v>
      </c>
      <c r="E7" s="165"/>
      <c r="F7" s="165"/>
      <c r="G7" s="168" t="s">
        <v>2</v>
      </c>
      <c r="H7" s="168"/>
      <c r="I7" s="169"/>
      <c r="J7" s="170" t="s">
        <v>7</v>
      </c>
      <c r="K7" s="168"/>
      <c r="L7" s="169"/>
      <c r="N7" s="165" t="s">
        <v>3</v>
      </c>
      <c r="O7" s="166" t="s">
        <v>42</v>
      </c>
      <c r="P7" s="166"/>
      <c r="R7" s="165" t="s">
        <v>3</v>
      </c>
      <c r="S7" s="166" t="s">
        <v>42</v>
      </c>
      <c r="T7" s="166"/>
      <c r="V7" s="165" t="s">
        <v>3</v>
      </c>
      <c r="W7" s="166" t="s">
        <v>42</v>
      </c>
      <c r="X7" s="166"/>
      <c r="Z7" s="165" t="s">
        <v>3</v>
      </c>
      <c r="AA7" s="166" t="s">
        <v>42</v>
      </c>
      <c r="AB7" s="166"/>
      <c r="AD7" s="165" t="s">
        <v>3</v>
      </c>
      <c r="AE7" s="166" t="s">
        <v>42</v>
      </c>
      <c r="AF7" s="166"/>
      <c r="AH7" s="165" t="s">
        <v>3</v>
      </c>
      <c r="AI7" s="166" t="s">
        <v>42</v>
      </c>
      <c r="AJ7" s="166"/>
      <c r="AL7" s="165" t="s">
        <v>3</v>
      </c>
      <c r="AM7" s="166" t="s">
        <v>42</v>
      </c>
      <c r="AN7" s="166"/>
      <c r="AP7" s="165" t="s">
        <v>3</v>
      </c>
      <c r="AQ7" s="166" t="s">
        <v>42</v>
      </c>
      <c r="AR7" s="166"/>
      <c r="AT7" s="165" t="s">
        <v>3</v>
      </c>
      <c r="AU7" s="166" t="s">
        <v>42</v>
      </c>
      <c r="AV7" s="166"/>
      <c r="AX7" s="165" t="s">
        <v>3</v>
      </c>
      <c r="AY7" s="166" t="s">
        <v>42</v>
      </c>
      <c r="AZ7" s="166"/>
    </row>
    <row r="8" spans="1:52" ht="22.95" customHeight="1" x14ac:dyDescent="0.3">
      <c r="A8" s="6"/>
      <c r="C8" s="167"/>
      <c r="D8" s="27" t="s">
        <v>15</v>
      </c>
      <c r="E8" s="27" t="s">
        <v>47</v>
      </c>
      <c r="F8" s="27" t="s">
        <v>10</v>
      </c>
      <c r="G8" s="63" t="s">
        <v>15</v>
      </c>
      <c r="H8" s="32" t="s">
        <v>47</v>
      </c>
      <c r="I8" s="32" t="s">
        <v>10</v>
      </c>
      <c r="J8" s="32" t="s">
        <v>15</v>
      </c>
      <c r="K8" s="32" t="s">
        <v>47</v>
      </c>
      <c r="L8" s="32" t="s">
        <v>10</v>
      </c>
      <c r="N8" s="165"/>
      <c r="O8" s="32" t="s">
        <v>2</v>
      </c>
      <c r="P8" s="32" t="s">
        <v>7</v>
      </c>
      <c r="R8" s="165"/>
      <c r="S8" s="32" t="s">
        <v>2</v>
      </c>
      <c r="T8" s="32" t="s">
        <v>7</v>
      </c>
      <c r="V8" s="165"/>
      <c r="W8" s="32" t="s">
        <v>2</v>
      </c>
      <c r="X8" s="32" t="s">
        <v>7</v>
      </c>
      <c r="Z8" s="165"/>
      <c r="AA8" s="32" t="s">
        <v>2</v>
      </c>
      <c r="AB8" s="32" t="s">
        <v>7</v>
      </c>
      <c r="AD8" s="165"/>
      <c r="AE8" s="32" t="s">
        <v>2</v>
      </c>
      <c r="AF8" s="32" t="s">
        <v>7</v>
      </c>
      <c r="AH8" s="165"/>
      <c r="AI8" s="32" t="s">
        <v>2</v>
      </c>
      <c r="AJ8" s="32" t="s">
        <v>7</v>
      </c>
      <c r="AL8" s="165"/>
      <c r="AM8" s="32" t="s">
        <v>2</v>
      </c>
      <c r="AN8" s="32" t="s">
        <v>7</v>
      </c>
      <c r="AP8" s="165"/>
      <c r="AQ8" s="32" t="s">
        <v>2</v>
      </c>
      <c r="AR8" s="32" t="s">
        <v>7</v>
      </c>
      <c r="AT8" s="165"/>
      <c r="AU8" s="32" t="s">
        <v>2</v>
      </c>
      <c r="AV8" s="32" t="s">
        <v>7</v>
      </c>
      <c r="AX8" s="165"/>
      <c r="AY8" s="32" t="s">
        <v>2</v>
      </c>
      <c r="AZ8" s="32" t="s">
        <v>7</v>
      </c>
    </row>
    <row r="9" spans="1:52" ht="18" customHeight="1" x14ac:dyDescent="0.3">
      <c r="A9" s="7"/>
      <c r="B9" s="86" t="s">
        <v>6</v>
      </c>
      <c r="C9" s="78">
        <f>D10/D9-1</f>
        <v>0.42714692152584033</v>
      </c>
      <c r="D9" s="29">
        <f>(N9+R9+V9+Z9+AD9+AH9+AL9+AP9+AT9+AX9)/10</f>
        <v>0.36203000000000002</v>
      </c>
      <c r="E9" s="29">
        <f>SQRT(((N9-D9)^2+(R9-D9)^2+(V9-D9)^2+(Z9-D9)^2+(AD9-D9)^2+(AH9-D9)^2+(AL9-D9)^2+(AP9-D9)^2+(AT9-D9)^2+(AX9-D9)^2)/10)</f>
        <v>1.2039273233879186E-2</v>
      </c>
      <c r="F9" s="79">
        <f>E9/D9</f>
        <v>3.3254904935721308E-2</v>
      </c>
      <c r="G9" s="15">
        <f>(O9+S9+W9+AA9+AE9+AI9+AM9+AQ9+AU9+AY9)/10</f>
        <v>0.52400000000000013</v>
      </c>
      <c r="H9" s="25">
        <f>SQRT(((O9-G9)^2+(S9-G9)^2+(W9-G9)^2+(AA9-G9)^2+(AE9-G9)^2+(AI9-G9)^2+(AM9-G9)^2+(AQ9-G9)^2+(AU9-G9)^2+(AY9-G9)^2)/10)</f>
        <v>2.8354893757515653E-2</v>
      </c>
      <c r="I9" s="31">
        <f>H9/G9</f>
        <v>5.4112392667014592E-2</v>
      </c>
      <c r="J9" s="25">
        <f>(P9+T9+X9+AB9+AF9+AJ9+AN9+AR9+AV9+AZ9)/10</f>
        <v>0.42508000000000001</v>
      </c>
      <c r="K9" s="25">
        <f>SQRT(((P9-J9)^2+(T9-J9)^2+(X9-J9)^2+(AB9-J9)^2+(AF9-J9)^2+(AJ9-J9)^2+(AN9-J9)^2+(AR9-J9)^2+(AV9-J9)^2+(AZ9-J9)^2)/10)</f>
        <v>1.4331629356078108E-2</v>
      </c>
      <c r="L9" s="31">
        <f>K9/J9</f>
        <v>3.3715134459579625E-2</v>
      </c>
      <c r="N9" s="75">
        <v>0.3493</v>
      </c>
      <c r="O9" s="81">
        <v>0.49</v>
      </c>
      <c r="P9" s="25">
        <v>0.40500000000000003</v>
      </c>
      <c r="R9" s="75">
        <v>0.35970000000000002</v>
      </c>
      <c r="S9" s="81">
        <v>0.53</v>
      </c>
      <c r="T9" s="25">
        <v>0.43090000000000001</v>
      </c>
      <c r="V9" s="75">
        <v>0.35970000000000002</v>
      </c>
      <c r="W9" s="81">
        <v>0.53</v>
      </c>
      <c r="X9" s="25">
        <v>0.43090000000000001</v>
      </c>
      <c r="Z9" s="75">
        <v>0.3493</v>
      </c>
      <c r="AA9" s="81">
        <v>0.49</v>
      </c>
      <c r="AB9" s="25">
        <v>0.40500000000000003</v>
      </c>
      <c r="AD9" s="75">
        <v>0.35970000000000002</v>
      </c>
      <c r="AE9" s="81">
        <v>0.53</v>
      </c>
      <c r="AF9" s="25">
        <v>0.43090000000000001</v>
      </c>
      <c r="AH9" s="75">
        <v>0.39429999999999998</v>
      </c>
      <c r="AI9" s="81">
        <v>0.49</v>
      </c>
      <c r="AJ9" s="25">
        <v>0.40500000000000003</v>
      </c>
      <c r="AL9" s="75">
        <v>0.35970000000000002</v>
      </c>
      <c r="AM9" s="81">
        <v>0.53</v>
      </c>
      <c r="AN9" s="25">
        <v>0.43090000000000001</v>
      </c>
      <c r="AP9" s="75">
        <v>0.36919999999999997</v>
      </c>
      <c r="AQ9" s="81">
        <v>0.59</v>
      </c>
      <c r="AR9" s="25">
        <v>0.45040000000000002</v>
      </c>
      <c r="AT9" s="75">
        <v>0.35970000000000002</v>
      </c>
      <c r="AU9" s="81">
        <v>0.53</v>
      </c>
      <c r="AV9" s="25">
        <v>0.43090000000000001</v>
      </c>
      <c r="AX9" s="75">
        <v>0.35970000000000002</v>
      </c>
      <c r="AY9" s="81">
        <v>0.53</v>
      </c>
      <c r="AZ9" s="25">
        <v>0.43090000000000001</v>
      </c>
    </row>
    <row r="10" spans="1:52" ht="37.799999999999997" customHeight="1" x14ac:dyDescent="0.3">
      <c r="A10" s="7"/>
      <c r="B10" s="86" t="s">
        <v>17</v>
      </c>
      <c r="C10" s="80"/>
      <c r="D10" s="29">
        <f>(N10+R10+V10+Z10+AD10+AH10+AL10+AP10+AT10+AX10)/10</f>
        <v>0.51666999999999996</v>
      </c>
      <c r="E10" s="29">
        <f>SQRT(((N10-D10)^2+(R10-D10)^2+(V10-D10)^2+(Z10-D10)^2+(AD10-D10)^2+(AH10-D10)^2+(AL10-D10)^2+(AP10-D10)^2+(AT10-D10)^2+(AX10-D10)^2)/10)</f>
        <v>2.7509127576133708E-2</v>
      </c>
      <c r="F10" s="79">
        <f>E10/D10</f>
        <v>5.324312922394122E-2</v>
      </c>
      <c r="G10" s="15">
        <f>(O10+S10+W10+AA10+AE10+AI10+AM10+AQ10+AU10+AY10)/10</f>
        <v>0.60999999999999988</v>
      </c>
      <c r="H10" s="25">
        <f>SQRT(((O10-G10)^2+(S10-G10)^2+(W10-G10)^2+(AA10-G10)^2+(AE10-G10)^2+(AI10-G10)^2+(AM10-G10)^2+(AQ10-G10)^2+(AU10-G10)^2+(AY10-G10)^2)/10)</f>
        <v>1.9493588689617945E-2</v>
      </c>
      <c r="I10" s="62">
        <f>H10/G10</f>
        <v>3.1956702769865487E-2</v>
      </c>
      <c r="J10" s="25">
        <f>(P10+T10+X10+AB10+AF10+AJ10+AN10+AR10+AV10+AZ10)/10</f>
        <v>0.4965</v>
      </c>
      <c r="K10" s="25">
        <f>SQRT(((P10-J10)^2+(T10-J10)^2+(X10-J10)^2+(AB10-J10)^2+(AF10-J10)^2+(AJ10-J10)^2+(AN10-J10)^2+(AR10-J10)^2+(AV10-J10)^2+(AZ10-J10)^2)/10)</f>
        <v>1.6693292065976681E-2</v>
      </c>
      <c r="L10" s="62">
        <f>K10/J10</f>
        <v>3.3621937695824132E-2</v>
      </c>
      <c r="N10" s="75">
        <v>0.56069999999999998</v>
      </c>
      <c r="O10" s="25">
        <v>0.6</v>
      </c>
      <c r="P10" s="25">
        <v>0.48580000000000001</v>
      </c>
      <c r="R10" s="75">
        <v>0.52170000000000005</v>
      </c>
      <c r="S10" s="81">
        <v>0.59</v>
      </c>
      <c r="T10" s="25">
        <v>0.46089999999999998</v>
      </c>
      <c r="V10" s="75">
        <v>0.5363</v>
      </c>
      <c r="W10" s="81">
        <v>0.59</v>
      </c>
      <c r="X10" s="25">
        <v>0.50429999999999997</v>
      </c>
      <c r="Z10" s="75">
        <v>0.53159999999999996</v>
      </c>
      <c r="AA10" s="81">
        <v>0.63</v>
      </c>
      <c r="AB10" s="25">
        <v>0.51849999999999996</v>
      </c>
      <c r="AD10" s="75">
        <v>0.53690000000000004</v>
      </c>
      <c r="AE10" s="81">
        <v>0.63</v>
      </c>
      <c r="AF10" s="25">
        <v>0.51219999999999999</v>
      </c>
      <c r="AH10" s="75">
        <v>0.52680000000000005</v>
      </c>
      <c r="AI10" s="81">
        <v>0.59</v>
      </c>
      <c r="AJ10" s="25">
        <v>0.48759999999999998</v>
      </c>
      <c r="AL10" s="75">
        <v>0.50619999999999998</v>
      </c>
      <c r="AM10" s="81">
        <v>0.61</v>
      </c>
      <c r="AN10" s="25">
        <v>0.48799999999999999</v>
      </c>
      <c r="AP10" s="75">
        <v>0.48089999999999999</v>
      </c>
      <c r="AQ10" s="81">
        <v>0.63</v>
      </c>
      <c r="AR10" s="25">
        <v>0.502</v>
      </c>
      <c r="AT10" s="75">
        <v>0.50280000000000002</v>
      </c>
      <c r="AU10" s="81">
        <v>0.64</v>
      </c>
      <c r="AV10" s="25">
        <v>0.5161</v>
      </c>
      <c r="AX10" s="75">
        <v>0.46279999999999999</v>
      </c>
      <c r="AY10" s="81">
        <v>0.59</v>
      </c>
      <c r="AZ10" s="25">
        <v>0.48959999999999998</v>
      </c>
    </row>
    <row r="11" spans="1:52" ht="18" customHeight="1" x14ac:dyDescent="0.3">
      <c r="A11" s="7"/>
      <c r="B11" s="86" t="s">
        <v>5</v>
      </c>
      <c r="C11" s="78">
        <f>D10/D11-1</f>
        <v>0.47178464606181447</v>
      </c>
      <c r="D11" s="29">
        <f>(N11+R11+V11+Z11+AD11+AH11+AL11+AP11+AT11+AX11)/10</f>
        <v>0.35104999999999997</v>
      </c>
      <c r="E11" s="29">
        <f>SQRT(((N11-D11)^2+(R11-D11)^2+(V11-D11)^2+(Z11-D11)^2+(AD11-D11)^2+(AH11-D11)^2+(AL11-D11)^2+(AP11-D11)^2+(AT11-D11)^2+(AX11-D11)^2)/10)</f>
        <v>1.9003960113618421E-2</v>
      </c>
      <c r="F11" s="79">
        <f>E11/D11</f>
        <v>5.4134625020989667E-2</v>
      </c>
      <c r="G11" s="15">
        <f>(O11+S11+W11+AA11+AE11+AI11+AM11+AQ11+AU11+AY11)/10</f>
        <v>0.39900000000000002</v>
      </c>
      <c r="H11" s="25">
        <f>SQRT(((O11-G11)^2+(S11-G11)^2+(W11-G11)^2+(AA11-G11)^2+(AE11-G11)^2+(AI11-G11)^2+(AM11-G11)^2+(AQ11-G11)^2+(AU11-G11)^2+(AY11-G11)^2)/10)</f>
        <v>4.4147480109288227E-2</v>
      </c>
      <c r="I11" s="31">
        <f>H11/G11</f>
        <v>0.11064531355711335</v>
      </c>
      <c r="J11" s="25">
        <f>(P11+T11+X11+AB11+AF11+AJ11+AN11+AR11+AV11+AZ11)/10</f>
        <v>0.39350999999999997</v>
      </c>
      <c r="K11" s="25">
        <f>SQRT(((P11-J11)^2+(T11-J11)^2+(X11-J11)^2+(AB11-J11)^2+(AF11-J11)^2+(AJ11-J11)^2+(AN11-J11)^2+(AR11-J11)^2+(AV11-J11)^2+(AZ11-J11)^2)/10)</f>
        <v>3.3481351525886764E-2</v>
      </c>
      <c r="L11" s="31">
        <f>K11/J11</f>
        <v>8.5083864516497076E-2</v>
      </c>
      <c r="N11" s="75">
        <v>0.33310000000000001</v>
      </c>
      <c r="O11" s="25">
        <v>0.42</v>
      </c>
      <c r="P11" s="25">
        <v>0.40379999999999999</v>
      </c>
      <c r="R11" s="75">
        <v>0.35959999999999998</v>
      </c>
      <c r="S11" s="81">
        <v>0.38</v>
      </c>
      <c r="T11" s="82">
        <v>0.35510000000000003</v>
      </c>
      <c r="V11" s="75">
        <v>0.3604</v>
      </c>
      <c r="W11" s="81">
        <v>0.42</v>
      </c>
      <c r="X11" s="82">
        <v>0.42859999999999998</v>
      </c>
      <c r="Z11" s="75">
        <v>0.32800000000000001</v>
      </c>
      <c r="AA11" s="81">
        <v>0.34</v>
      </c>
      <c r="AB11" s="82">
        <v>0.34689999999999999</v>
      </c>
      <c r="AD11" s="75">
        <v>0.36570000000000003</v>
      </c>
      <c r="AE11" s="81">
        <v>0.42</v>
      </c>
      <c r="AF11" s="82">
        <v>0.41789999999999999</v>
      </c>
      <c r="AH11" s="75">
        <v>0.33489999999999998</v>
      </c>
      <c r="AI11" s="81">
        <v>0.35</v>
      </c>
      <c r="AJ11" s="82">
        <v>0.36080000000000001</v>
      </c>
      <c r="AL11" s="75">
        <v>0.36430000000000001</v>
      </c>
      <c r="AM11" s="81">
        <v>0.38</v>
      </c>
      <c r="AN11" s="82">
        <v>0.39789999999999998</v>
      </c>
      <c r="AP11" s="75">
        <v>0.32140000000000002</v>
      </c>
      <c r="AQ11" s="81">
        <v>0.35</v>
      </c>
      <c r="AR11" s="82">
        <v>0.35709999999999997</v>
      </c>
      <c r="AT11" s="75">
        <v>0.38219999999999998</v>
      </c>
      <c r="AU11" s="81">
        <v>0.45</v>
      </c>
      <c r="AV11" s="82">
        <v>0.43059999999999998</v>
      </c>
      <c r="AX11" s="75">
        <v>0.3609</v>
      </c>
      <c r="AY11" s="81">
        <v>0.48</v>
      </c>
      <c r="AZ11" s="82">
        <v>0.43640000000000001</v>
      </c>
    </row>
    <row r="12" spans="1:52" ht="18" customHeight="1" x14ac:dyDescent="0.3">
      <c r="A12" s="7"/>
      <c r="B12" s="86" t="s">
        <v>1</v>
      </c>
      <c r="C12" s="78">
        <f>D10/D12-1</f>
        <v>-3.939686907373674E-2</v>
      </c>
      <c r="D12" s="29">
        <f>(N12+R12+V12+Z12+AD12+AH12+AL12+AP12+AT12+AX12)/10</f>
        <v>0.53786</v>
      </c>
      <c r="E12" s="29">
        <f>SQRT(((N12-D12)^2+(R12-D12)^2+(V12-D12)^2+(Z12-D12)^2+(AD12-D12)^2+(AH12-D12)^2+(AL12-D12)^2+(AP12-D12)^2+(AT12-D12)^2+(AX12-D12)^2)/10)</f>
        <v>3.1181026282019651E-2</v>
      </c>
      <c r="F12" s="79">
        <f>E12/D12</f>
        <v>5.7972383672367622E-2</v>
      </c>
      <c r="G12" s="15">
        <f>(O12+S12+W12+AA12+AE12+AI12+AM12+AQ12+AU12+AY12)/10</f>
        <v>0.54399999999999993</v>
      </c>
      <c r="H12" s="25">
        <f>SQRT(((O12-G12)^2+(S12-G12)^2+(W12-G12)^2+(AA12-G12)^2+(AE12-G12)^2+(AI12-G12)^2+(AM12-G12)^2+(AQ12-G12)^2+(AU12-G12)^2+(AY12-G12)^2)/10)</f>
        <v>3.8781438859330622E-2</v>
      </c>
      <c r="I12" s="31">
        <f>H12/G12</f>
        <v>7.1289409667887188E-2</v>
      </c>
      <c r="J12" s="25">
        <f>(P12+T12+X12+AB12+AF12+AJ12+AN12+AR12+AV12+AZ12)/10</f>
        <v>0.49041999999999997</v>
      </c>
      <c r="K12" s="25">
        <f>SQRT(((P12-J12)^2+(T12-J12)^2+(X12-J12)^2+(AB12-J12)^2+(AF12-J12)^2+(AJ12-J12)^2+(AN12-J12)^2+(AR12-J12)^2+(AV12-J12)^2+(AZ12-J12)^2)/10)</f>
        <v>2.7043254242047135E-2</v>
      </c>
      <c r="L12" s="31">
        <f>K12/J12</f>
        <v>5.5143049308851874E-2</v>
      </c>
      <c r="N12" s="75">
        <v>0.54169999999999996</v>
      </c>
      <c r="O12" s="25">
        <v>0.56999999999999995</v>
      </c>
      <c r="P12" s="25">
        <v>0.49349999999999999</v>
      </c>
      <c r="R12" s="75">
        <v>0.54530000000000001</v>
      </c>
      <c r="S12" s="81">
        <v>0.55000000000000004</v>
      </c>
      <c r="T12" s="83">
        <v>0.5</v>
      </c>
      <c r="V12" s="75">
        <v>0.55020000000000002</v>
      </c>
      <c r="W12" s="81">
        <v>0.54</v>
      </c>
      <c r="X12" s="83">
        <v>0.51180000000000003</v>
      </c>
      <c r="Z12" s="75">
        <v>0.55710000000000004</v>
      </c>
      <c r="AA12" s="81">
        <v>0.56999999999999995</v>
      </c>
      <c r="AB12" s="83">
        <v>0.50670000000000004</v>
      </c>
      <c r="AD12" s="75">
        <v>0.55620000000000003</v>
      </c>
      <c r="AE12" s="81">
        <v>0.54</v>
      </c>
      <c r="AF12" s="83">
        <v>0.47789999999999999</v>
      </c>
      <c r="AH12" s="75">
        <v>0.56279999999999997</v>
      </c>
      <c r="AI12" s="81">
        <v>0.56999999999999995</v>
      </c>
      <c r="AJ12" s="83">
        <v>0.49569999999999997</v>
      </c>
      <c r="AL12" s="75">
        <v>0.44769999999999999</v>
      </c>
      <c r="AM12" s="81">
        <v>0.44</v>
      </c>
      <c r="AN12" s="83">
        <v>0.41899999999999998</v>
      </c>
      <c r="AP12" s="75">
        <v>0.53800000000000003</v>
      </c>
      <c r="AQ12" s="81">
        <v>0.56000000000000005</v>
      </c>
      <c r="AR12" s="83">
        <v>0.51139999999999997</v>
      </c>
      <c r="AT12" s="75">
        <v>0.54400000000000004</v>
      </c>
      <c r="AU12" s="81">
        <v>0.57999999999999996</v>
      </c>
      <c r="AV12" s="83">
        <v>0.51329999999999998</v>
      </c>
      <c r="AX12" s="75">
        <v>0.53559999999999997</v>
      </c>
      <c r="AY12" s="81">
        <v>0.52</v>
      </c>
      <c r="AZ12" s="83">
        <v>0.47489999999999999</v>
      </c>
    </row>
    <row r="13" spans="1:52" ht="18" customHeight="1" x14ac:dyDescent="0.3">
      <c r="A13" s="7"/>
      <c r="B13" s="86" t="s">
        <v>11</v>
      </c>
      <c r="C13" s="78">
        <f>D10/D13-1</f>
        <v>1.5062818336162986</v>
      </c>
      <c r="D13" s="29">
        <f>(N13+R13+V13+Z13+AD13+AH13+AL13+AP13+AT13+AX13)/10</f>
        <v>0.20615</v>
      </c>
      <c r="E13" s="29">
        <f>SQRT(((N13-D13)^2+(R13-D13)^2+(V13-D13)^2+(Z13-D13)^2+(AD13-D13)^2+(AH13-D13)^2+(AL13-D13)^2+(AP13-D13)^2+(AT13-D13)^2+(AX13-D13)^2)/10)</f>
        <v>1.0437935619652007E-2</v>
      </c>
      <c r="F13" s="79">
        <f>E13/D13</f>
        <v>5.0632721899839958E-2</v>
      </c>
      <c r="G13" s="15">
        <f>(O13+S13+W13+AA13+AE13+AI13+AM13+AQ13+AU13+AY13)/10</f>
        <v>0.48600000000000004</v>
      </c>
      <c r="H13" s="25">
        <f>SQRT(((O13-G13)^2+(S13-G13)^2+(W13-G13)^2+(AA13-G13)^2+(AE13-G13)^2+(AI13-G13)^2+(AM13-G13)^2+(AQ13-G13)^2+(AU13-G13)^2+(AY13-G13)^2)/10)</f>
        <v>2.9732137494637018E-2</v>
      </c>
      <c r="I13" s="31">
        <f>H13/G13</f>
        <v>6.1177237643286038E-2</v>
      </c>
      <c r="J13" s="25">
        <f>(P13+T13+X13+AB13+AF13+AJ13+AN13+AR13+AV13+AZ13)/10</f>
        <v>0.29174000000000005</v>
      </c>
      <c r="K13" s="25">
        <f>SQRT(((P13-J13)^2+(T13-J13)^2+(X13-J13)^2+(AB13-J13)^2+(AF13-J13)^2+(AJ13-J13)^2+(AN13-J13)^2+(AR13-J13)^2+(AV13-J13)^2+(AZ13-J13)^2)/10)</f>
        <v>1.3107494039670578E-2</v>
      </c>
      <c r="L13" s="31">
        <f>K13/J13</f>
        <v>4.4928683209949187E-2</v>
      </c>
      <c r="N13" s="75">
        <v>0.1928</v>
      </c>
      <c r="O13" s="81">
        <v>0.45</v>
      </c>
      <c r="P13" s="25">
        <v>0.28039999999999998</v>
      </c>
      <c r="R13" s="75">
        <v>0.21410000000000001</v>
      </c>
      <c r="S13" s="81">
        <v>0.5</v>
      </c>
      <c r="T13" s="83">
        <v>0.29239999999999999</v>
      </c>
      <c r="V13" s="75">
        <v>0.2175</v>
      </c>
      <c r="W13" s="81">
        <v>0.51</v>
      </c>
      <c r="X13" s="83">
        <v>0.30909999999999999</v>
      </c>
      <c r="Z13" s="75">
        <v>0.18729999999999999</v>
      </c>
      <c r="AA13" s="81">
        <v>0.46</v>
      </c>
      <c r="AB13" s="83">
        <v>0.27300000000000002</v>
      </c>
      <c r="AD13" s="75">
        <v>0.19239999999999999</v>
      </c>
      <c r="AE13" s="81">
        <v>0.48</v>
      </c>
      <c r="AF13" s="83">
        <v>0.29089999999999999</v>
      </c>
      <c r="AH13" s="75">
        <v>0.2112</v>
      </c>
      <c r="AI13" s="81">
        <v>0.47</v>
      </c>
      <c r="AJ13" s="83">
        <v>0.28570000000000001</v>
      </c>
      <c r="AL13" s="75">
        <v>0.21340000000000001</v>
      </c>
      <c r="AM13" s="81">
        <v>0.54</v>
      </c>
      <c r="AN13" s="83">
        <v>0.31759999999999999</v>
      </c>
      <c r="AO13" s="34"/>
      <c r="AP13" s="84">
        <v>0.20710000000000001</v>
      </c>
      <c r="AQ13" s="85">
        <v>0.51</v>
      </c>
      <c r="AR13" s="83">
        <v>0.29909999999999998</v>
      </c>
      <c r="AT13" s="75">
        <v>0.21460000000000001</v>
      </c>
      <c r="AU13" s="81">
        <v>0.5</v>
      </c>
      <c r="AV13" s="83">
        <v>0.29070000000000001</v>
      </c>
      <c r="AX13" s="75">
        <v>0.21110000000000001</v>
      </c>
      <c r="AY13" s="81">
        <v>0.44</v>
      </c>
      <c r="AZ13" s="83">
        <v>0.27850000000000003</v>
      </c>
    </row>
    <row r="14" spans="1:52" ht="18" customHeight="1" x14ac:dyDescent="0.3">
      <c r="A14" s="7"/>
    </row>
    <row r="15" spans="1:52" ht="18" customHeight="1" x14ac:dyDescent="0.3">
      <c r="A15" s="7"/>
      <c r="C15" s="167" t="s">
        <v>43</v>
      </c>
      <c r="D15" s="165" t="s">
        <v>3</v>
      </c>
      <c r="E15" s="165"/>
      <c r="F15" s="165"/>
      <c r="G15" s="168" t="s">
        <v>2</v>
      </c>
      <c r="H15" s="168"/>
      <c r="I15" s="169"/>
      <c r="J15" s="170" t="s">
        <v>7</v>
      </c>
      <c r="K15" s="168"/>
      <c r="L15" s="169"/>
      <c r="N15" s="165" t="s">
        <v>3</v>
      </c>
      <c r="O15" s="166" t="s">
        <v>42</v>
      </c>
      <c r="P15" s="166"/>
      <c r="R15" s="165" t="s">
        <v>3</v>
      </c>
      <c r="S15" s="166" t="s">
        <v>42</v>
      </c>
      <c r="T15" s="166"/>
      <c r="V15" s="165" t="s">
        <v>3</v>
      </c>
      <c r="W15" s="166" t="s">
        <v>42</v>
      </c>
      <c r="X15" s="166"/>
      <c r="Z15" s="165" t="s">
        <v>3</v>
      </c>
      <c r="AA15" s="166" t="s">
        <v>42</v>
      </c>
      <c r="AB15" s="166"/>
      <c r="AD15" s="165" t="s">
        <v>3</v>
      </c>
      <c r="AE15" s="166" t="s">
        <v>42</v>
      </c>
      <c r="AF15" s="166"/>
      <c r="AH15" s="165" t="s">
        <v>3</v>
      </c>
      <c r="AI15" s="166" t="s">
        <v>42</v>
      </c>
      <c r="AJ15" s="166"/>
      <c r="AL15" s="165" t="s">
        <v>3</v>
      </c>
      <c r="AM15" s="166" t="s">
        <v>42</v>
      </c>
      <c r="AN15" s="166"/>
      <c r="AP15" s="165" t="s">
        <v>3</v>
      </c>
      <c r="AQ15" s="166" t="s">
        <v>42</v>
      </c>
      <c r="AR15" s="166"/>
      <c r="AT15" s="165" t="s">
        <v>3</v>
      </c>
      <c r="AU15" s="166" t="s">
        <v>42</v>
      </c>
      <c r="AV15" s="166"/>
      <c r="AX15" s="165" t="s">
        <v>3</v>
      </c>
      <c r="AY15" s="166" t="s">
        <v>42</v>
      </c>
      <c r="AZ15" s="166"/>
    </row>
    <row r="16" spans="1:52" ht="18" customHeight="1" x14ac:dyDescent="0.3">
      <c r="A16" s="5"/>
      <c r="C16" s="167"/>
      <c r="D16" s="27" t="s">
        <v>15</v>
      </c>
      <c r="E16" s="27" t="s">
        <v>47</v>
      </c>
      <c r="F16" s="27" t="s">
        <v>10</v>
      </c>
      <c r="G16" s="63" t="s">
        <v>15</v>
      </c>
      <c r="H16" s="32" t="s">
        <v>47</v>
      </c>
      <c r="I16" s="32" t="s">
        <v>10</v>
      </c>
      <c r="J16" s="32" t="s">
        <v>15</v>
      </c>
      <c r="K16" s="32" t="s">
        <v>47</v>
      </c>
      <c r="L16" s="32" t="s">
        <v>10</v>
      </c>
      <c r="N16" s="165"/>
      <c r="O16" s="32" t="s">
        <v>2</v>
      </c>
      <c r="P16" s="32" t="s">
        <v>7</v>
      </c>
      <c r="R16" s="165"/>
      <c r="S16" s="32" t="s">
        <v>2</v>
      </c>
      <c r="T16" s="32" t="s">
        <v>7</v>
      </c>
      <c r="V16" s="165"/>
      <c r="W16" s="32" t="s">
        <v>2</v>
      </c>
      <c r="X16" s="32" t="s">
        <v>7</v>
      </c>
      <c r="Z16" s="165"/>
      <c r="AA16" s="32" t="s">
        <v>2</v>
      </c>
      <c r="AB16" s="32" t="s">
        <v>7</v>
      </c>
      <c r="AD16" s="165"/>
      <c r="AE16" s="32" t="s">
        <v>2</v>
      </c>
      <c r="AF16" s="32" t="s">
        <v>7</v>
      </c>
      <c r="AH16" s="165"/>
      <c r="AI16" s="32" t="s">
        <v>2</v>
      </c>
      <c r="AJ16" s="32" t="s">
        <v>7</v>
      </c>
      <c r="AL16" s="165"/>
      <c r="AM16" s="32" t="s">
        <v>2</v>
      </c>
      <c r="AN16" s="32" t="s">
        <v>7</v>
      </c>
      <c r="AP16" s="165"/>
      <c r="AQ16" s="32" t="s">
        <v>2</v>
      </c>
      <c r="AR16" s="32" t="s">
        <v>7</v>
      </c>
      <c r="AT16" s="165"/>
      <c r="AU16" s="32" t="s">
        <v>2</v>
      </c>
      <c r="AV16" s="32" t="s">
        <v>7</v>
      </c>
      <c r="AX16" s="165"/>
      <c r="AY16" s="32" t="s">
        <v>2</v>
      </c>
      <c r="AZ16" s="32" t="s">
        <v>7</v>
      </c>
    </row>
    <row r="17" spans="1:52" ht="16.8" x14ac:dyDescent="0.3">
      <c r="A17" s="3"/>
      <c r="B17" s="86" t="s">
        <v>6</v>
      </c>
      <c r="C17" s="78">
        <f>D18/D17-1</f>
        <v>0.4088335220838053</v>
      </c>
      <c r="D17" s="29">
        <f>(N17+R17+V17+Z17+AD17+AH17+AL17+AP17+AT17+AX17)/10</f>
        <v>0.36203000000000002</v>
      </c>
      <c r="E17" s="29">
        <f>SQRT(((N17-D17)^2+(R17-D17)^2+(V17-D17)^2+(Z17-D17)^2+(AD17-D17)^2+(AH17-D17)^2+(AL17-D17)^2+(AP17-D17)^2+(AT17-D17)^2+(AX17-D17)^2)/10)</f>
        <v>1.2039273233879186E-2</v>
      </c>
      <c r="F17" s="79">
        <f>E17/D17</f>
        <v>3.3254904935721308E-2</v>
      </c>
      <c r="G17" s="15">
        <f>(O17+S17+W17+AA17+AE17+AI17+AM17+AQ17+AU17+AY17)/10</f>
        <v>0.52400000000000013</v>
      </c>
      <c r="H17" s="25">
        <f>SQRT(((O17-G17)^2+(S17-G17)^2+(W17-G17)^2+(AA17-G17)^2+(AE17-G17)^2+(AI17-G17)^2+(AM17-G17)^2+(AQ17-G17)^2+(AU17-G17)^2+(AY17-G17)^2)/10)</f>
        <v>2.8354893757515653E-2</v>
      </c>
      <c r="I17" s="31">
        <f>H17/G17</f>
        <v>5.4112392667014592E-2</v>
      </c>
      <c r="J17" s="25">
        <f>(P17+T17+X17+AB17+AF17+AJ17+AN17+AR17+AV17+AZ17)/10</f>
        <v>0.42508000000000001</v>
      </c>
      <c r="K17" s="25">
        <f>SQRT(((P17-J17)^2+(T17-J17)^2+(X17-J17)^2+(AB17-J17)^2+(AF17-J17)^2+(AJ17-J17)^2+(AN17-J17)^2+(AR17-J17)^2+(AV17-J17)^2+(AZ17-J17)^2)/10)</f>
        <v>1.4331629356078108E-2</v>
      </c>
      <c r="L17" s="31">
        <f>K17/J17</f>
        <v>3.3715134459579625E-2</v>
      </c>
      <c r="N17" s="75">
        <v>0.3493</v>
      </c>
      <c r="O17" s="81">
        <v>0.49</v>
      </c>
      <c r="P17" s="25">
        <v>0.40500000000000003</v>
      </c>
      <c r="R17" s="75">
        <v>0.35970000000000002</v>
      </c>
      <c r="S17" s="81">
        <v>0.53</v>
      </c>
      <c r="T17" s="25">
        <v>0.43090000000000001</v>
      </c>
      <c r="V17" s="75">
        <v>0.35970000000000002</v>
      </c>
      <c r="W17" s="81">
        <v>0.53</v>
      </c>
      <c r="X17" s="25">
        <v>0.43090000000000001</v>
      </c>
      <c r="Z17" s="75">
        <v>0.3493</v>
      </c>
      <c r="AA17" s="81">
        <v>0.49</v>
      </c>
      <c r="AB17" s="25">
        <v>0.40500000000000003</v>
      </c>
      <c r="AD17" s="75">
        <v>0.35970000000000002</v>
      </c>
      <c r="AE17" s="81">
        <v>0.53</v>
      </c>
      <c r="AF17" s="25">
        <v>0.43090000000000001</v>
      </c>
      <c r="AH17" s="75">
        <v>0.39429999999999998</v>
      </c>
      <c r="AI17" s="81">
        <v>0.49</v>
      </c>
      <c r="AJ17" s="25">
        <v>0.40500000000000003</v>
      </c>
      <c r="AL17" s="75">
        <v>0.35970000000000002</v>
      </c>
      <c r="AM17" s="81">
        <v>0.53</v>
      </c>
      <c r="AN17" s="25">
        <v>0.43090000000000001</v>
      </c>
      <c r="AP17" s="75">
        <v>0.36919999999999997</v>
      </c>
      <c r="AQ17" s="81">
        <v>0.59</v>
      </c>
      <c r="AR17" s="25">
        <v>0.45040000000000002</v>
      </c>
      <c r="AT17" s="75">
        <v>0.35970000000000002</v>
      </c>
      <c r="AU17" s="81">
        <v>0.53</v>
      </c>
      <c r="AV17" s="25">
        <v>0.43090000000000001</v>
      </c>
      <c r="AX17" s="75">
        <v>0.35970000000000002</v>
      </c>
      <c r="AY17" s="81">
        <v>0.53</v>
      </c>
      <c r="AZ17" s="25">
        <v>0.43090000000000001</v>
      </c>
    </row>
    <row r="18" spans="1:52" ht="32.4" customHeight="1" x14ac:dyDescent="0.3">
      <c r="A18"/>
      <c r="B18" s="86" t="s">
        <v>44</v>
      </c>
      <c r="C18" s="80"/>
      <c r="D18" s="29">
        <f>(N18+R18+V18+Z18+AD18+AH18+AL18+AP18+AT18+AX18)/10</f>
        <v>0.51004000000000005</v>
      </c>
      <c r="E18" s="29">
        <f>SQRT(((N18-D18)^2+(R18-D18)^2+(V18-D18)^2+(Z18-D18)^2+(AD18-D18)^2+(AH18-D18)^2+(AL18-D18)^2+(AP18-D18)^2+(AT18-D18)^2+(AX18-D18)^2)/10)</f>
        <v>1.2535326082715193E-2</v>
      </c>
      <c r="F18" s="79">
        <f>E18/D18</f>
        <v>2.457714313135282E-2</v>
      </c>
      <c r="G18" s="18">
        <f>(O18+S18+W18+AA18+AE18+AI18+AM18+AQ18+AU18+AY18)/10</f>
        <v>0.60099999999999998</v>
      </c>
      <c r="H18" s="64">
        <f>SQRT(((O18-G18)^2+(S18-G18)^2+(W18-G18)^2+(AA18-G18)^2+(AE18-G18)^2+(AI18-G18)^2+(AM18-G18)^2+(AQ18-G18)^2+(AU18-G18)^2+(AY18-G18)^2)/10)</f>
        <v>2.624880949681337E-2</v>
      </c>
      <c r="I18" s="62">
        <f>H18/G18</f>
        <v>4.3675223788374989E-2</v>
      </c>
      <c r="J18" s="64">
        <f>(P18+T18+X18+AB18+AF18+AJ18+AN18+AR18+AV18+AZ18)/10</f>
        <v>0.48235000000000011</v>
      </c>
      <c r="K18" s="64">
        <f>SQRT(((P18-J18)^2+(T18-J18)^2+(X18-J18)^2+(AB18-J18)^2+(AF18-J18)^2+(AJ18-J18)^2+(AN18-J18)^2+(AR18-J18)^2+(AV18-J18)^2+(AZ18-J18)^2)/10)</f>
        <v>1.7922960134977701E-2</v>
      </c>
      <c r="L18" s="62">
        <f>K18/J18</f>
        <v>3.7157582948020518E-2</v>
      </c>
      <c r="N18" s="75">
        <v>0.50519999999999998</v>
      </c>
      <c r="O18" s="81">
        <v>0.61</v>
      </c>
      <c r="P18" s="25">
        <v>0.4919</v>
      </c>
      <c r="R18" s="75">
        <v>0.48470000000000002</v>
      </c>
      <c r="S18" s="81">
        <v>0.61</v>
      </c>
      <c r="T18" s="25">
        <v>0.46560000000000001</v>
      </c>
      <c r="V18" s="75">
        <v>0.50319999999999998</v>
      </c>
      <c r="W18" s="81">
        <v>0.62</v>
      </c>
      <c r="X18" s="25">
        <v>0.496</v>
      </c>
      <c r="Z18" s="75">
        <v>0.51919999999999999</v>
      </c>
      <c r="AA18" s="81">
        <v>0.64</v>
      </c>
      <c r="AB18" s="25">
        <v>0.49809999999999999</v>
      </c>
      <c r="AD18" s="75">
        <v>0.51390000000000002</v>
      </c>
      <c r="AE18" s="81">
        <v>0.6</v>
      </c>
      <c r="AF18" s="25">
        <v>0.4839</v>
      </c>
      <c r="AH18" s="75">
        <v>0.53749999999999998</v>
      </c>
      <c r="AI18" s="81">
        <v>0.61</v>
      </c>
      <c r="AJ18" s="25">
        <v>0.50829999999999997</v>
      </c>
      <c r="AL18" s="75">
        <v>0.51039999999999996</v>
      </c>
      <c r="AM18" s="81">
        <v>0.56999999999999995</v>
      </c>
      <c r="AN18" s="25">
        <v>0.46339999999999998</v>
      </c>
      <c r="AP18" s="75">
        <v>0.50960000000000005</v>
      </c>
      <c r="AQ18" s="81">
        <v>0.54</v>
      </c>
      <c r="AR18" s="25">
        <v>0.4481</v>
      </c>
      <c r="AT18" s="75">
        <v>0.5081</v>
      </c>
      <c r="AU18" s="81">
        <v>0.6</v>
      </c>
      <c r="AV18" s="25">
        <v>0.4743</v>
      </c>
      <c r="AX18" s="75">
        <v>0.50860000000000005</v>
      </c>
      <c r="AY18" s="81">
        <v>0.61</v>
      </c>
      <c r="AZ18" s="25">
        <v>0.49390000000000001</v>
      </c>
    </row>
    <row r="19" spans="1:52" ht="16.8" x14ac:dyDescent="0.3">
      <c r="A19"/>
      <c r="B19" s="86" t="s">
        <v>5</v>
      </c>
      <c r="C19" s="78">
        <f>D18/D19-1</f>
        <v>0.4528984475145994</v>
      </c>
      <c r="D19" s="29">
        <f>(N19+R19+V19+Z19+AD19+AH19+AL19+AP19+AT19+AX19)/10</f>
        <v>0.35104999999999997</v>
      </c>
      <c r="E19" s="29">
        <f>SQRT(((N19-D19)^2+(R19-D19)^2+(V19-D19)^2+(Z19-D19)^2+(AD19-D19)^2+(AH19-D19)^2+(AL19-D19)^2+(AP19-D19)^2+(AT19-D19)^2+(AX19-D19)^2)/10)</f>
        <v>1.9003960113618421E-2</v>
      </c>
      <c r="F19" s="79">
        <f>E19/D19</f>
        <v>5.4134625020989667E-2</v>
      </c>
      <c r="G19" s="15">
        <f>(O19+S19+W19+AA19+AE19+AI19+AM19+AQ19+AU19+AY19)/10</f>
        <v>0.39900000000000002</v>
      </c>
      <c r="H19" s="25">
        <f>SQRT(((O19-G19)^2+(S19-G19)^2+(W19-G19)^2+(AA19-G19)^2+(AE19-G19)^2+(AI19-G19)^2+(AM19-G19)^2+(AQ19-G19)^2+(AU19-G19)^2+(AY19-G19)^2)/10)</f>
        <v>4.4147480109288227E-2</v>
      </c>
      <c r="I19" s="31">
        <f>H19/G19</f>
        <v>0.11064531355711335</v>
      </c>
      <c r="J19" s="25">
        <f>(P19+T19+X19+AB19+AF19+AJ19+AN19+AR19+AV19+AZ19)/10</f>
        <v>0.39350999999999997</v>
      </c>
      <c r="K19" s="25">
        <f>SQRT(((P19-J19)^2+(T19-J19)^2+(X19-J19)^2+(AB19-J19)^2+(AF19-J19)^2+(AJ19-J19)^2+(AN19-J19)^2+(AR19-J19)^2+(AV19-J19)^2+(AZ19-J19)^2)/10)</f>
        <v>3.3481351525886764E-2</v>
      </c>
      <c r="L19" s="31">
        <f>K19/J19</f>
        <v>8.5083864516497076E-2</v>
      </c>
      <c r="N19" s="75">
        <v>0.33310000000000001</v>
      </c>
      <c r="O19" s="25">
        <v>0.42</v>
      </c>
      <c r="P19" s="25">
        <v>0.40379999999999999</v>
      </c>
      <c r="R19" s="75">
        <v>0.35959999999999998</v>
      </c>
      <c r="S19" s="81">
        <v>0.38</v>
      </c>
      <c r="T19" s="82">
        <v>0.35510000000000003</v>
      </c>
      <c r="V19" s="75">
        <v>0.3604</v>
      </c>
      <c r="W19" s="81">
        <v>0.42</v>
      </c>
      <c r="X19" s="82">
        <v>0.42859999999999998</v>
      </c>
      <c r="Z19" s="75">
        <v>0.32800000000000001</v>
      </c>
      <c r="AA19" s="81">
        <v>0.34</v>
      </c>
      <c r="AB19" s="82">
        <v>0.34689999999999999</v>
      </c>
      <c r="AD19" s="75">
        <v>0.36570000000000003</v>
      </c>
      <c r="AE19" s="81">
        <v>0.42</v>
      </c>
      <c r="AF19" s="82">
        <v>0.41789999999999999</v>
      </c>
      <c r="AH19" s="75">
        <v>0.33489999999999998</v>
      </c>
      <c r="AI19" s="81">
        <v>0.35</v>
      </c>
      <c r="AJ19" s="82">
        <v>0.36080000000000001</v>
      </c>
      <c r="AL19" s="75">
        <v>0.36430000000000001</v>
      </c>
      <c r="AM19" s="81">
        <v>0.38</v>
      </c>
      <c r="AN19" s="82">
        <v>0.39789999999999998</v>
      </c>
      <c r="AP19" s="75">
        <v>0.32140000000000002</v>
      </c>
      <c r="AQ19" s="81">
        <v>0.35</v>
      </c>
      <c r="AR19" s="82">
        <v>0.35709999999999997</v>
      </c>
      <c r="AT19" s="75">
        <v>0.38219999999999998</v>
      </c>
      <c r="AU19" s="81">
        <v>0.45</v>
      </c>
      <c r="AV19" s="82">
        <v>0.43059999999999998</v>
      </c>
      <c r="AX19" s="75">
        <v>0.3609</v>
      </c>
      <c r="AY19" s="81">
        <v>0.48</v>
      </c>
      <c r="AZ19" s="82">
        <v>0.43640000000000001</v>
      </c>
    </row>
    <row r="20" spans="1:52" ht="16.8" x14ac:dyDescent="0.3">
      <c r="A20"/>
      <c r="B20" s="86" t="s">
        <v>1</v>
      </c>
      <c r="C20" s="87">
        <f>D18/D20-1</f>
        <v>-5.1723496820733961E-2</v>
      </c>
      <c r="D20" s="29">
        <f>(N20+R20+V20+Z20+AD20+AH20+AL20+AP20+AT20+AX20)/10</f>
        <v>0.53786</v>
      </c>
      <c r="E20" s="29">
        <f>SQRT(((N20-D20)^2+(R20-D20)^2+(V20-D20)^2+(Z20-D20)^2+(AD20-D20)^2+(AH20-D20)^2+(AL20-D20)^2+(AP20-D20)^2+(AT20-D20)^2+(AX20-D20)^2)/10)</f>
        <v>3.1181026282019651E-2</v>
      </c>
      <c r="F20" s="79">
        <f>E20/D20</f>
        <v>5.7972383672367622E-2</v>
      </c>
      <c r="G20" s="15">
        <f>(O20+S20+W20+AA20+AE20+AI20+AM20+AQ20+AU20+AY20)/10</f>
        <v>0.54399999999999993</v>
      </c>
      <c r="H20" s="25">
        <f>SQRT(((O20-G20)^2+(S20-G20)^2+(W20-G20)^2+(AA20-G20)^2+(AE20-G20)^2+(AI20-G20)^2+(AM20-G20)^2+(AQ20-G20)^2+(AU20-G20)^2+(AY20-G20)^2)/10)</f>
        <v>3.8781438859330622E-2</v>
      </c>
      <c r="I20" s="31">
        <f>H20/G20</f>
        <v>7.1289409667887188E-2</v>
      </c>
      <c r="J20" s="25">
        <f>(P20+T20+X20+AB20+AF20+AJ20+AN20+AR20+AV20+AZ20)/10</f>
        <v>0.49041999999999997</v>
      </c>
      <c r="K20" s="25">
        <f>SQRT(((P20-J20)^2+(T20-J20)^2+(X20-J20)^2+(AB20-J20)^2+(AF20-J20)^2+(AJ20-J20)^2+(AN20-J20)^2+(AR20-J20)^2+(AV20-J20)^2+(AZ20-J20)^2)/10)</f>
        <v>2.7043254242047135E-2</v>
      </c>
      <c r="L20" s="31">
        <f>K20/J20</f>
        <v>5.5143049308851874E-2</v>
      </c>
      <c r="N20" s="75">
        <v>0.54169999999999996</v>
      </c>
      <c r="O20" s="25">
        <v>0.56999999999999995</v>
      </c>
      <c r="P20" s="25">
        <v>0.49349999999999999</v>
      </c>
      <c r="R20" s="75">
        <v>0.54530000000000001</v>
      </c>
      <c r="S20" s="81">
        <v>0.55000000000000004</v>
      </c>
      <c r="T20" s="83">
        <v>0.5</v>
      </c>
      <c r="V20" s="75">
        <v>0.55020000000000002</v>
      </c>
      <c r="W20" s="81">
        <v>0.54</v>
      </c>
      <c r="X20" s="83">
        <v>0.51180000000000003</v>
      </c>
      <c r="Z20" s="75">
        <v>0.55710000000000004</v>
      </c>
      <c r="AA20" s="81">
        <v>0.56999999999999995</v>
      </c>
      <c r="AB20" s="83">
        <v>0.50670000000000004</v>
      </c>
      <c r="AD20" s="75">
        <v>0.55620000000000003</v>
      </c>
      <c r="AE20" s="81">
        <v>0.54</v>
      </c>
      <c r="AF20" s="83">
        <v>0.47789999999999999</v>
      </c>
      <c r="AH20" s="75">
        <v>0.56279999999999997</v>
      </c>
      <c r="AI20" s="81">
        <v>0.56999999999999995</v>
      </c>
      <c r="AJ20" s="83">
        <v>0.49569999999999997</v>
      </c>
      <c r="AL20" s="75">
        <v>0.44769999999999999</v>
      </c>
      <c r="AM20" s="81">
        <v>0.44</v>
      </c>
      <c r="AN20" s="83">
        <v>0.41899999999999998</v>
      </c>
      <c r="AP20" s="75">
        <v>0.53800000000000003</v>
      </c>
      <c r="AQ20" s="81">
        <v>0.56000000000000005</v>
      </c>
      <c r="AR20" s="83">
        <v>0.51139999999999997</v>
      </c>
      <c r="AT20" s="75">
        <v>0.54400000000000004</v>
      </c>
      <c r="AU20" s="81">
        <v>0.57999999999999996</v>
      </c>
      <c r="AV20" s="83">
        <v>0.51329999999999998</v>
      </c>
      <c r="AX20" s="75">
        <v>0.53559999999999997</v>
      </c>
      <c r="AY20" s="81">
        <v>0.52</v>
      </c>
      <c r="AZ20" s="83">
        <v>0.47489999999999999</v>
      </c>
    </row>
    <row r="21" spans="1:52" ht="16.8" x14ac:dyDescent="0.3">
      <c r="A21"/>
      <c r="B21" s="86" t="s">
        <v>11</v>
      </c>
      <c r="C21" s="78">
        <f>D18/D21-1</f>
        <v>1.4741207858355567</v>
      </c>
      <c r="D21" s="29">
        <f>(N21+R21+V21+Z21+AD21+AH21+AL21+AP21+AT21+AX21)/10</f>
        <v>0.20615</v>
      </c>
      <c r="E21" s="29">
        <f>SQRT(((N21-D21)^2+(R21-D21)^2+(V21-D21)^2+(Z21-D21)^2+(AD21-D21)^2+(AH21-D21)^2+(AL21-D21)^2+(AP21-D21)^2+(AT21-D21)^2+(AX21-D21)^2)/10)</f>
        <v>1.0437935619652007E-2</v>
      </c>
      <c r="F21" s="79">
        <f>E21/D21</f>
        <v>5.0632721899839958E-2</v>
      </c>
      <c r="G21" s="15">
        <f>(O21+S21+W21+AA21+AE21+AI21+AM21+AQ21+AU21+AY21)/10</f>
        <v>0.48600000000000004</v>
      </c>
      <c r="H21" s="25">
        <f>SQRT(((O21-G21)^2+(S21-G21)^2+(W21-G21)^2+(AA21-G21)^2+(AE21-G21)^2+(AI21-G21)^2+(AM21-G21)^2+(AQ21-G21)^2+(AU21-G21)^2+(AY21-G21)^2)/10)</f>
        <v>2.9732137494637018E-2</v>
      </c>
      <c r="I21" s="31">
        <f>H21/G21</f>
        <v>6.1177237643286038E-2</v>
      </c>
      <c r="J21" s="25">
        <f>(P21+T21+X21+AB21+AF21+AJ21+AN21+AR21+AV21+AZ21)/10</f>
        <v>0.29174000000000005</v>
      </c>
      <c r="K21" s="25">
        <f>SQRT(((P21-J21)^2+(T21-J21)^2+(X21-J21)^2+(AB21-J21)^2+(AF21-J21)^2+(AJ21-J21)^2+(AN21-J21)^2+(AR21-J21)^2+(AV21-J21)^2+(AZ21-J21)^2)/10)</f>
        <v>1.3107494039670578E-2</v>
      </c>
      <c r="L21" s="31">
        <f>K21/J21</f>
        <v>4.4928683209949187E-2</v>
      </c>
      <c r="N21" s="75">
        <v>0.1928</v>
      </c>
      <c r="O21" s="81">
        <v>0.45</v>
      </c>
      <c r="P21" s="25">
        <v>0.28039999999999998</v>
      </c>
      <c r="R21" s="75">
        <v>0.21410000000000001</v>
      </c>
      <c r="S21" s="81">
        <v>0.5</v>
      </c>
      <c r="T21" s="83">
        <v>0.29239999999999999</v>
      </c>
      <c r="V21" s="75">
        <v>0.2175</v>
      </c>
      <c r="W21" s="81">
        <v>0.51</v>
      </c>
      <c r="X21" s="83">
        <v>0.30909999999999999</v>
      </c>
      <c r="Z21" s="75">
        <v>0.18729999999999999</v>
      </c>
      <c r="AA21" s="81">
        <v>0.46</v>
      </c>
      <c r="AB21" s="83">
        <v>0.27300000000000002</v>
      </c>
      <c r="AD21" s="75">
        <v>0.19239999999999999</v>
      </c>
      <c r="AE21" s="81">
        <v>0.48</v>
      </c>
      <c r="AF21" s="83">
        <v>0.29089999999999999</v>
      </c>
      <c r="AH21" s="75">
        <v>0.2112</v>
      </c>
      <c r="AI21" s="81">
        <v>0.47</v>
      </c>
      <c r="AJ21" s="83">
        <v>0.28570000000000001</v>
      </c>
      <c r="AL21" s="75">
        <v>0.21340000000000001</v>
      </c>
      <c r="AM21" s="81">
        <v>0.54</v>
      </c>
      <c r="AN21" s="83">
        <v>0.31759999999999999</v>
      </c>
      <c r="AO21" s="34"/>
      <c r="AP21" s="84">
        <v>0.20710000000000001</v>
      </c>
      <c r="AQ21" s="85">
        <v>0.51</v>
      </c>
      <c r="AR21" s="83">
        <v>0.29909999999999998</v>
      </c>
      <c r="AT21" s="75">
        <v>0.21460000000000001</v>
      </c>
      <c r="AU21" s="81">
        <v>0.5</v>
      </c>
      <c r="AV21" s="83">
        <v>0.29070000000000001</v>
      </c>
      <c r="AX21" s="75">
        <v>0.21110000000000001</v>
      </c>
      <c r="AY21" s="81">
        <v>0.44</v>
      </c>
      <c r="AZ21" s="83">
        <v>0.27850000000000003</v>
      </c>
    </row>
    <row r="22" spans="1:52" x14ac:dyDescent="0.3">
      <c r="A22" s="3"/>
      <c r="C22"/>
    </row>
    <row r="23" spans="1:52" ht="16.8" x14ac:dyDescent="0.3">
      <c r="A23"/>
      <c r="B23" s="88"/>
      <c r="C23" s="167" t="s">
        <v>43</v>
      </c>
      <c r="D23" s="165" t="s">
        <v>3</v>
      </c>
      <c r="E23" s="165"/>
      <c r="F23" s="165"/>
      <c r="G23" s="168" t="s">
        <v>2</v>
      </c>
      <c r="H23" s="168"/>
      <c r="I23" s="169"/>
      <c r="J23" s="170" t="s">
        <v>7</v>
      </c>
      <c r="K23" s="168"/>
      <c r="L23" s="169"/>
      <c r="N23" s="165" t="s">
        <v>3</v>
      </c>
      <c r="O23" s="166" t="s">
        <v>42</v>
      </c>
      <c r="P23" s="166"/>
      <c r="R23" s="165" t="s">
        <v>3</v>
      </c>
      <c r="S23" s="166" t="s">
        <v>42</v>
      </c>
      <c r="T23" s="166"/>
      <c r="V23" s="165" t="s">
        <v>3</v>
      </c>
      <c r="W23" s="166" t="s">
        <v>42</v>
      </c>
      <c r="X23" s="166"/>
      <c r="Z23" s="165" t="s">
        <v>3</v>
      </c>
      <c r="AA23" s="166" t="s">
        <v>42</v>
      </c>
      <c r="AB23" s="166"/>
      <c r="AD23" s="165" t="s">
        <v>3</v>
      </c>
      <c r="AE23" s="166" t="s">
        <v>42</v>
      </c>
      <c r="AF23" s="166"/>
      <c r="AH23" s="165" t="s">
        <v>3</v>
      </c>
      <c r="AI23" s="166" t="s">
        <v>42</v>
      </c>
      <c r="AJ23" s="166"/>
      <c r="AL23" s="165" t="s">
        <v>3</v>
      </c>
      <c r="AM23" s="166" t="s">
        <v>42</v>
      </c>
      <c r="AN23" s="166"/>
      <c r="AP23" s="165" t="s">
        <v>3</v>
      </c>
      <c r="AQ23" s="166" t="s">
        <v>42</v>
      </c>
      <c r="AR23" s="166"/>
      <c r="AT23" s="165" t="s">
        <v>3</v>
      </c>
      <c r="AU23" s="166" t="s">
        <v>42</v>
      </c>
      <c r="AV23" s="166"/>
      <c r="AX23" s="165" t="s">
        <v>3</v>
      </c>
      <c r="AY23" s="166" t="s">
        <v>42</v>
      </c>
      <c r="AZ23" s="166"/>
    </row>
    <row r="24" spans="1:52" ht="16.8" x14ac:dyDescent="0.3">
      <c r="A24"/>
      <c r="B24" s="88"/>
      <c r="C24" s="167"/>
      <c r="D24" s="27" t="s">
        <v>15</v>
      </c>
      <c r="E24" s="27" t="s">
        <v>47</v>
      </c>
      <c r="F24" s="27" t="s">
        <v>10</v>
      </c>
      <c r="G24" s="63" t="s">
        <v>15</v>
      </c>
      <c r="H24" s="32" t="s">
        <v>47</v>
      </c>
      <c r="I24" s="32" t="s">
        <v>10</v>
      </c>
      <c r="J24" s="32" t="s">
        <v>15</v>
      </c>
      <c r="K24" s="32" t="s">
        <v>47</v>
      </c>
      <c r="L24" s="32" t="s">
        <v>10</v>
      </c>
      <c r="N24" s="165"/>
      <c r="O24" s="32" t="s">
        <v>2</v>
      </c>
      <c r="P24" s="32" t="s">
        <v>7</v>
      </c>
      <c r="R24" s="165"/>
      <c r="S24" s="32" t="s">
        <v>2</v>
      </c>
      <c r="T24" s="32" t="s">
        <v>7</v>
      </c>
      <c r="V24" s="165"/>
      <c r="W24" s="32" t="s">
        <v>2</v>
      </c>
      <c r="X24" s="32" t="s">
        <v>7</v>
      </c>
      <c r="Z24" s="165"/>
      <c r="AA24" s="32" t="s">
        <v>2</v>
      </c>
      <c r="AB24" s="32" t="s">
        <v>7</v>
      </c>
      <c r="AD24" s="165"/>
      <c r="AE24" s="32" t="s">
        <v>2</v>
      </c>
      <c r="AF24" s="32" t="s">
        <v>7</v>
      </c>
      <c r="AH24" s="165"/>
      <c r="AI24" s="32" t="s">
        <v>2</v>
      </c>
      <c r="AJ24" s="32" t="s">
        <v>7</v>
      </c>
      <c r="AL24" s="165"/>
      <c r="AM24" s="32" t="s">
        <v>2</v>
      </c>
      <c r="AN24" s="32" t="s">
        <v>7</v>
      </c>
      <c r="AP24" s="165"/>
      <c r="AQ24" s="32" t="s">
        <v>2</v>
      </c>
      <c r="AR24" s="32" t="s">
        <v>7</v>
      </c>
      <c r="AT24" s="165"/>
      <c r="AU24" s="32" t="s">
        <v>2</v>
      </c>
      <c r="AV24" s="32" t="s">
        <v>7</v>
      </c>
      <c r="AX24" s="165"/>
      <c r="AY24" s="32" t="s">
        <v>2</v>
      </c>
      <c r="AZ24" s="32" t="s">
        <v>7</v>
      </c>
    </row>
    <row r="25" spans="1:52" ht="16.8" x14ac:dyDescent="0.3">
      <c r="A25"/>
      <c r="B25" s="86" t="s">
        <v>6</v>
      </c>
      <c r="C25" s="78">
        <f>D26/D25-1</f>
        <v>0.39038201254039717</v>
      </c>
      <c r="D25" s="29">
        <f>(N25+R25+V25+Z25+AD25+AH25+AL25+AP25+AT25+AX25)/10</f>
        <v>0.36203000000000002</v>
      </c>
      <c r="E25" s="29">
        <f>SQRT(((N25-D25)^2+(R25-D25)^2+(V25-D25)^2+(Z25-D25)^2+(AD25-D25)^2+(AH25-D25)^2+(AL25-D25)^2+(AP25-D25)^2+(AT25-D25)^2+(AX25-D25)^2)/10)</f>
        <v>1.2039273233879186E-2</v>
      </c>
      <c r="F25" s="79">
        <f>E25/D25</f>
        <v>3.3254904935721308E-2</v>
      </c>
      <c r="G25" s="15">
        <f>(O25+S25+W25+AA25+AE25+AI25+AM25+AQ25+AU25+AY25)/10</f>
        <v>0.52400000000000013</v>
      </c>
      <c r="H25" s="25">
        <f>SQRT(((O25-G25)^2+(S25-G25)^2+(W25-G25)^2+(AA25-G25)^2+(AE25-G25)^2+(AI25-G25)^2+(AM25-G25)^2+(AQ25-G25)^2+(AU25-G25)^2+(AY25-G25)^2)/10)</f>
        <v>2.8354893757515653E-2</v>
      </c>
      <c r="I25" s="31">
        <f>H25/G25</f>
        <v>5.4112392667014592E-2</v>
      </c>
      <c r="J25" s="25">
        <f>(P25+T25+X25+AB25+AF25+AJ25+AN25+AR25+AV25+AZ25)/10</f>
        <v>0.42508000000000001</v>
      </c>
      <c r="K25" s="25">
        <f>SQRT(((P25-J25)^2+(T25-J25)^2+(X25-J25)^2+(AB25-J25)^2+(AF25-J25)^2+(AJ25-J25)^2+(AN25-J25)^2+(AR25-J25)^2+(AV25-J25)^2+(AZ25-J25)^2)/10)</f>
        <v>1.4331629356078108E-2</v>
      </c>
      <c r="L25" s="31">
        <f>K25/J25</f>
        <v>3.3715134459579625E-2</v>
      </c>
      <c r="N25" s="75">
        <v>0.3493</v>
      </c>
      <c r="O25" s="81">
        <v>0.49</v>
      </c>
      <c r="P25" s="25">
        <v>0.40500000000000003</v>
      </c>
      <c r="R25" s="75">
        <v>0.35970000000000002</v>
      </c>
      <c r="S25" s="81">
        <v>0.53</v>
      </c>
      <c r="T25" s="25">
        <v>0.43090000000000001</v>
      </c>
      <c r="V25" s="75">
        <v>0.35970000000000002</v>
      </c>
      <c r="W25" s="81">
        <v>0.53</v>
      </c>
      <c r="X25" s="25">
        <v>0.43090000000000001</v>
      </c>
      <c r="Z25" s="75">
        <v>0.3493</v>
      </c>
      <c r="AA25" s="81">
        <v>0.49</v>
      </c>
      <c r="AB25" s="25">
        <v>0.40500000000000003</v>
      </c>
      <c r="AD25" s="75">
        <v>0.35970000000000002</v>
      </c>
      <c r="AE25" s="81">
        <v>0.53</v>
      </c>
      <c r="AF25" s="25">
        <v>0.43090000000000001</v>
      </c>
      <c r="AH25" s="75">
        <v>0.39429999999999998</v>
      </c>
      <c r="AI25" s="81">
        <v>0.49</v>
      </c>
      <c r="AJ25" s="25">
        <v>0.40500000000000003</v>
      </c>
      <c r="AL25" s="75">
        <v>0.35970000000000002</v>
      </c>
      <c r="AM25" s="81">
        <v>0.53</v>
      </c>
      <c r="AN25" s="25">
        <v>0.43090000000000001</v>
      </c>
      <c r="AP25" s="75">
        <v>0.36919999999999997</v>
      </c>
      <c r="AQ25" s="81">
        <v>0.59</v>
      </c>
      <c r="AR25" s="25">
        <v>0.45040000000000002</v>
      </c>
      <c r="AT25" s="75">
        <v>0.35970000000000002</v>
      </c>
      <c r="AU25" s="81">
        <v>0.53</v>
      </c>
      <c r="AV25" s="25">
        <v>0.43090000000000001</v>
      </c>
      <c r="AX25" s="75">
        <v>0.35970000000000002</v>
      </c>
      <c r="AY25" s="81">
        <v>0.53</v>
      </c>
      <c r="AZ25" s="25">
        <v>0.43090000000000001</v>
      </c>
    </row>
    <row r="26" spans="1:52" ht="33.6" x14ac:dyDescent="0.3">
      <c r="A26"/>
      <c r="B26" s="86" t="s">
        <v>45</v>
      </c>
      <c r="C26" s="80"/>
      <c r="D26" s="29">
        <f>(N26+R26+V26+Z26+AD26+AH26+AL26+AP26+AT26+AX26)/10</f>
        <v>0.50336000000000003</v>
      </c>
      <c r="E26" s="29">
        <f>SQRT(((N26-D26)^2+(R26-D26)^2+(V26-D26)^2+(Z26-D26)^2+(AD26-D26)^2+(AH26-D26)^2+(AL26-D26)^2+(AP26-D26)^2+(AT26-D26)^2+(AX26-D26)^2)/10)</f>
        <v>1.5470371682671352E-2</v>
      </c>
      <c r="F26" s="79">
        <f>E26/D26</f>
        <v>3.0734209477652874E-2</v>
      </c>
      <c r="G26" s="18">
        <f>(O26+S26+W26+AA26+AE26+AI26+AM26+AQ26+AU26+AY26)/10</f>
        <v>0.60599999999999998</v>
      </c>
      <c r="H26" s="64">
        <f>SQRT(((O26-G26)^2+(S26-G26)^2+(W26-G26)^2+(AA26-G26)^2+(AE26-G26)^2+(AI26-G26)^2+(AM26-G26)^2+(AQ26-G26)^2+(AU26-G26)^2+(AY26-G26)^2)/10)</f>
        <v>2.4979991993593589E-2</v>
      </c>
      <c r="I26" s="62">
        <f>H26/G26</f>
        <v>4.1221108900319457E-2</v>
      </c>
      <c r="J26" s="64">
        <f>(P26+T26+X26+AB26+AF26+AJ26+AN26+AR26+AV26+AZ26)/10</f>
        <v>0.48321000000000003</v>
      </c>
      <c r="K26" s="64">
        <f>SQRT(((P26-J26)^2+(T26-J26)^2+(X26-J26)^2+(AB26-J26)^2+(AF26-J26)^2+(AJ26-J26)^2+(AN26-J26)^2+(AR26-J26)^2+(AV26-J26)^2+(AZ26-J26)^2)/10)</f>
        <v>2.0142862259371185E-2</v>
      </c>
      <c r="L26" s="62">
        <f>K26/J26</f>
        <v>4.1685524429070558E-2</v>
      </c>
      <c r="N26" s="75">
        <v>0.50729999999999997</v>
      </c>
      <c r="O26" s="81">
        <v>0.61</v>
      </c>
      <c r="P26" s="25">
        <v>0.47839999999999999</v>
      </c>
      <c r="R26" s="75">
        <v>0.47949999999999998</v>
      </c>
      <c r="S26" s="81">
        <v>0.63</v>
      </c>
      <c r="T26" s="25">
        <v>0.49409999999999998</v>
      </c>
      <c r="V26" s="75">
        <v>0.48320000000000002</v>
      </c>
      <c r="W26" s="81">
        <v>0.59</v>
      </c>
      <c r="X26" s="25">
        <v>0.45910000000000001</v>
      </c>
      <c r="Z26" s="75">
        <v>0.495</v>
      </c>
      <c r="AA26" s="81">
        <v>0.6</v>
      </c>
      <c r="AB26" s="25">
        <v>0.4839</v>
      </c>
      <c r="AD26" s="75">
        <v>0.51119999999999999</v>
      </c>
      <c r="AE26" s="81">
        <v>0.62</v>
      </c>
      <c r="AF26" s="25">
        <v>0.50819999999999999</v>
      </c>
      <c r="AH26" s="75">
        <v>0.52849999999999997</v>
      </c>
      <c r="AI26" s="81">
        <v>0.63</v>
      </c>
      <c r="AJ26" s="25">
        <v>0.51219999999999999</v>
      </c>
      <c r="AL26" s="75">
        <v>0.51029999999999998</v>
      </c>
      <c r="AM26" s="81">
        <v>0.59</v>
      </c>
      <c r="AN26" s="25">
        <v>0.46089999999999998</v>
      </c>
      <c r="AP26" s="75">
        <v>0.49459999999999998</v>
      </c>
      <c r="AQ26" s="81">
        <v>0.64</v>
      </c>
      <c r="AR26" s="25">
        <v>0.50790000000000002</v>
      </c>
      <c r="AT26" s="75">
        <v>0.52549999999999997</v>
      </c>
      <c r="AU26" s="81">
        <v>0.55000000000000004</v>
      </c>
      <c r="AV26" s="25">
        <v>0.46410000000000001</v>
      </c>
      <c r="AX26" s="75">
        <v>0.4985</v>
      </c>
      <c r="AY26" s="81">
        <v>0.6</v>
      </c>
      <c r="AZ26" s="25">
        <v>0.46329999999999999</v>
      </c>
    </row>
    <row r="27" spans="1:52" ht="16.8" x14ac:dyDescent="0.3">
      <c r="A27"/>
      <c r="B27" s="86" t="s">
        <v>5</v>
      </c>
      <c r="C27" s="78">
        <f>D26/D27-1</f>
        <v>0.4338698191140864</v>
      </c>
      <c r="D27" s="29">
        <f>(N27+R27+V27+Z27+AD27+AH27+AL27+AP27+AT27+AX27)/10</f>
        <v>0.35104999999999997</v>
      </c>
      <c r="E27" s="29">
        <f>SQRT(((N27-D27)^2+(R27-D27)^2+(V27-D27)^2+(Z27-D27)^2+(AD27-D27)^2+(AH27-D27)^2+(AL27-D27)^2+(AP27-D27)^2+(AT27-D27)^2+(AX27-D27)^2)/10)</f>
        <v>1.9003960113618421E-2</v>
      </c>
      <c r="F27" s="79">
        <f>E27/D27</f>
        <v>5.4134625020989667E-2</v>
      </c>
      <c r="G27" s="15">
        <f>(O27+S27+W27+AA27+AE27+AI27+AM27+AQ27+AU27+AY27)/10</f>
        <v>0.39900000000000002</v>
      </c>
      <c r="H27" s="25">
        <f>SQRT(((O27-G27)^2+(S27-G27)^2+(W27-G27)^2+(AA27-G27)^2+(AE27-G27)^2+(AI27-G27)^2+(AM27-G27)^2+(AQ27-G27)^2+(AU27-G27)^2+(AY27-G27)^2)/10)</f>
        <v>4.4147480109288227E-2</v>
      </c>
      <c r="I27" s="31">
        <f>H27/G27</f>
        <v>0.11064531355711335</v>
      </c>
      <c r="J27" s="25">
        <f>(P27+T27+X27+AB27+AF27+AJ27+AN27+AR27+AV27+AZ27)/10</f>
        <v>0.39350999999999997</v>
      </c>
      <c r="K27" s="25">
        <f>SQRT(((P27-J27)^2+(T27-J27)^2+(X27-J27)^2+(AB27-J27)^2+(AF27-J27)^2+(AJ27-J27)^2+(AN27-J27)^2+(AR27-J27)^2+(AV27-J27)^2+(AZ27-J27)^2)/10)</f>
        <v>3.3481351525886764E-2</v>
      </c>
      <c r="L27" s="31">
        <f>K27/J27</f>
        <v>8.5083864516497076E-2</v>
      </c>
      <c r="N27" s="75">
        <v>0.33310000000000001</v>
      </c>
      <c r="O27" s="25">
        <v>0.42</v>
      </c>
      <c r="P27" s="25">
        <v>0.40379999999999999</v>
      </c>
      <c r="R27" s="75">
        <v>0.35959999999999998</v>
      </c>
      <c r="S27" s="81">
        <v>0.38</v>
      </c>
      <c r="T27" s="82">
        <v>0.35510000000000003</v>
      </c>
      <c r="V27" s="75">
        <v>0.3604</v>
      </c>
      <c r="W27" s="81">
        <v>0.42</v>
      </c>
      <c r="X27" s="82">
        <v>0.42859999999999998</v>
      </c>
      <c r="Z27" s="75">
        <v>0.32800000000000001</v>
      </c>
      <c r="AA27" s="81">
        <v>0.34</v>
      </c>
      <c r="AB27" s="82">
        <v>0.34689999999999999</v>
      </c>
      <c r="AD27" s="75">
        <v>0.36570000000000003</v>
      </c>
      <c r="AE27" s="81">
        <v>0.42</v>
      </c>
      <c r="AF27" s="82">
        <v>0.41789999999999999</v>
      </c>
      <c r="AH27" s="75">
        <v>0.33489999999999998</v>
      </c>
      <c r="AI27" s="81">
        <v>0.35</v>
      </c>
      <c r="AJ27" s="82">
        <v>0.36080000000000001</v>
      </c>
      <c r="AL27" s="75">
        <v>0.36430000000000001</v>
      </c>
      <c r="AM27" s="81">
        <v>0.38</v>
      </c>
      <c r="AN27" s="82">
        <v>0.39789999999999998</v>
      </c>
      <c r="AP27" s="75">
        <v>0.32140000000000002</v>
      </c>
      <c r="AQ27" s="81">
        <v>0.35</v>
      </c>
      <c r="AR27" s="82">
        <v>0.35709999999999997</v>
      </c>
      <c r="AT27" s="75">
        <v>0.38219999999999998</v>
      </c>
      <c r="AU27" s="81">
        <v>0.45</v>
      </c>
      <c r="AV27" s="82">
        <v>0.43059999999999998</v>
      </c>
      <c r="AX27" s="75">
        <v>0.3609</v>
      </c>
      <c r="AY27" s="81">
        <v>0.48</v>
      </c>
      <c r="AZ27" s="82">
        <v>0.43640000000000001</v>
      </c>
    </row>
    <row r="28" spans="1:52" ht="16.8" x14ac:dyDescent="0.3">
      <c r="A28" s="3"/>
      <c r="B28" s="86" t="s">
        <v>1</v>
      </c>
      <c r="C28" s="87">
        <f>D26/D28-1</f>
        <v>-6.4143085561298441E-2</v>
      </c>
      <c r="D28" s="29">
        <f>(N28+R28+V28+Z28+AD28+AH28+AL28+AP28+AT28+AX28)/10</f>
        <v>0.53786</v>
      </c>
      <c r="E28" s="29">
        <f>SQRT(((N28-D28)^2+(R28-D28)^2+(V28-D28)^2+(Z28-D28)^2+(AD28-D28)^2+(AH28-D28)^2+(AL28-D28)^2+(AP28-D28)^2+(AT28-D28)^2+(AX28-D28)^2)/10)</f>
        <v>3.1181026282019651E-2</v>
      </c>
      <c r="F28" s="79">
        <f>E28/D28</f>
        <v>5.7972383672367622E-2</v>
      </c>
      <c r="G28" s="15">
        <f>(O28+S28+W28+AA28+AE28+AI28+AM28+AQ28+AU28+AY28)/10</f>
        <v>0.54399999999999993</v>
      </c>
      <c r="H28" s="25">
        <f>SQRT(((O28-G28)^2+(S28-G28)^2+(W28-G28)^2+(AA28-G28)^2+(AE28-G28)^2+(AI28-G28)^2+(AM28-G28)^2+(AQ28-G28)^2+(AU28-G28)^2+(AY28-G28)^2)/10)</f>
        <v>3.8781438859330622E-2</v>
      </c>
      <c r="I28" s="31">
        <f>H28/G28</f>
        <v>7.1289409667887188E-2</v>
      </c>
      <c r="J28" s="25">
        <f>(P28+T28+X28+AB28+AF28+AJ28+AN28+AR28+AV28+AZ28)/10</f>
        <v>0.49041999999999997</v>
      </c>
      <c r="K28" s="25">
        <f>SQRT(((P28-J28)^2+(T28-J28)^2+(X28-J28)^2+(AB28-J28)^2+(AF28-J28)^2+(AJ28-J28)^2+(AN28-J28)^2+(AR28-J28)^2+(AV28-J28)^2+(AZ28-J28)^2)/10)</f>
        <v>2.7043254242047135E-2</v>
      </c>
      <c r="L28" s="31">
        <f>K28/J28</f>
        <v>5.5143049308851874E-2</v>
      </c>
      <c r="N28" s="75">
        <v>0.54169999999999996</v>
      </c>
      <c r="O28" s="25">
        <v>0.56999999999999995</v>
      </c>
      <c r="P28" s="25">
        <v>0.49349999999999999</v>
      </c>
      <c r="R28" s="75">
        <v>0.54530000000000001</v>
      </c>
      <c r="S28" s="81">
        <v>0.55000000000000004</v>
      </c>
      <c r="T28" s="83">
        <v>0.5</v>
      </c>
      <c r="V28" s="75">
        <v>0.55020000000000002</v>
      </c>
      <c r="W28" s="81">
        <v>0.54</v>
      </c>
      <c r="X28" s="83">
        <v>0.51180000000000003</v>
      </c>
      <c r="Z28" s="75">
        <v>0.55710000000000004</v>
      </c>
      <c r="AA28" s="81">
        <v>0.56999999999999995</v>
      </c>
      <c r="AB28" s="83">
        <v>0.50670000000000004</v>
      </c>
      <c r="AD28" s="75">
        <v>0.55620000000000003</v>
      </c>
      <c r="AE28" s="81">
        <v>0.54</v>
      </c>
      <c r="AF28" s="83">
        <v>0.47789999999999999</v>
      </c>
      <c r="AH28" s="75">
        <v>0.56279999999999997</v>
      </c>
      <c r="AI28" s="81">
        <v>0.56999999999999995</v>
      </c>
      <c r="AJ28" s="83">
        <v>0.49569999999999997</v>
      </c>
      <c r="AL28" s="75">
        <v>0.44769999999999999</v>
      </c>
      <c r="AM28" s="81">
        <v>0.44</v>
      </c>
      <c r="AN28" s="83">
        <v>0.41899999999999998</v>
      </c>
      <c r="AP28" s="75">
        <v>0.53800000000000003</v>
      </c>
      <c r="AQ28" s="81">
        <v>0.56000000000000005</v>
      </c>
      <c r="AR28" s="83">
        <v>0.51139999999999997</v>
      </c>
      <c r="AT28" s="75">
        <v>0.54400000000000004</v>
      </c>
      <c r="AU28" s="81">
        <v>0.57999999999999996</v>
      </c>
      <c r="AV28" s="83">
        <v>0.51329999999999998</v>
      </c>
      <c r="AX28" s="75">
        <v>0.53559999999999997</v>
      </c>
      <c r="AY28" s="81">
        <v>0.52</v>
      </c>
      <c r="AZ28" s="83">
        <v>0.47489999999999999</v>
      </c>
    </row>
    <row r="29" spans="1:52" ht="16.8" x14ac:dyDescent="0.3">
      <c r="A29"/>
      <c r="B29" s="86" t="s">
        <v>11</v>
      </c>
      <c r="C29" s="78">
        <f>D26/D29-1</f>
        <v>1.4417171962163473</v>
      </c>
      <c r="D29" s="29">
        <f>(N29+R29+V29+Z29+AD29+AH29+AL29+AP29+AT29+AX29)/10</f>
        <v>0.20615</v>
      </c>
      <c r="E29" s="29">
        <f>SQRT(((N29-D29)^2+(R29-D29)^2+(V29-D29)^2+(Z29-D29)^2+(AD29-D29)^2+(AH29-D29)^2+(AL29-D29)^2+(AP29-D29)^2+(AT29-D29)^2+(AX29-D29)^2)/10)</f>
        <v>1.0437935619652007E-2</v>
      </c>
      <c r="F29" s="79">
        <f>E29/D29</f>
        <v>5.0632721899839958E-2</v>
      </c>
      <c r="G29" s="15">
        <f>(O29+S29+W29+AA29+AE29+AI29+AM29+AQ29+AU29+AY29)/10</f>
        <v>0.48600000000000004</v>
      </c>
      <c r="H29" s="25">
        <f>SQRT(((O29-G29)^2+(S29-G29)^2+(W29-G29)^2+(AA29-G29)^2+(AE29-G29)^2+(AI29-G29)^2+(AM29-G29)^2+(AQ29-G29)^2+(AU29-G29)^2+(AY29-G29)^2)/10)</f>
        <v>2.9732137494637018E-2</v>
      </c>
      <c r="I29" s="31">
        <f>H29/G29</f>
        <v>6.1177237643286038E-2</v>
      </c>
      <c r="J29" s="25">
        <f>(P29+T29+X29+AB29+AF29+AJ29+AN29+AR29+AV29+AZ29)/10</f>
        <v>0.29174000000000005</v>
      </c>
      <c r="K29" s="25">
        <f>SQRT(((P29-J29)^2+(T29-J29)^2+(X29-J29)^2+(AB29-J29)^2+(AF29-J29)^2+(AJ29-J29)^2+(AN29-J29)^2+(AR29-J29)^2+(AV29-J29)^2+(AZ29-J29)^2)/10)</f>
        <v>1.3107494039670578E-2</v>
      </c>
      <c r="L29" s="31">
        <f>K29/J29</f>
        <v>4.4928683209949187E-2</v>
      </c>
      <c r="N29" s="75">
        <v>0.1928</v>
      </c>
      <c r="O29" s="81">
        <v>0.45</v>
      </c>
      <c r="P29" s="25">
        <v>0.28039999999999998</v>
      </c>
      <c r="R29" s="75">
        <v>0.21410000000000001</v>
      </c>
      <c r="S29" s="81">
        <v>0.5</v>
      </c>
      <c r="T29" s="83">
        <v>0.29239999999999999</v>
      </c>
      <c r="V29" s="75">
        <v>0.2175</v>
      </c>
      <c r="W29" s="81">
        <v>0.51</v>
      </c>
      <c r="X29" s="83">
        <v>0.30909999999999999</v>
      </c>
      <c r="Z29" s="75">
        <v>0.18729999999999999</v>
      </c>
      <c r="AA29" s="81">
        <v>0.46</v>
      </c>
      <c r="AB29" s="83">
        <v>0.27300000000000002</v>
      </c>
      <c r="AD29" s="75">
        <v>0.19239999999999999</v>
      </c>
      <c r="AE29" s="81">
        <v>0.48</v>
      </c>
      <c r="AF29" s="83">
        <v>0.29089999999999999</v>
      </c>
      <c r="AH29" s="75">
        <v>0.2112</v>
      </c>
      <c r="AI29" s="81">
        <v>0.47</v>
      </c>
      <c r="AJ29" s="83">
        <v>0.28570000000000001</v>
      </c>
      <c r="AL29" s="75">
        <v>0.21340000000000001</v>
      </c>
      <c r="AM29" s="81">
        <v>0.54</v>
      </c>
      <c r="AN29" s="83">
        <v>0.31759999999999999</v>
      </c>
      <c r="AO29" s="34"/>
      <c r="AP29" s="84">
        <v>0.20710000000000001</v>
      </c>
      <c r="AQ29" s="85">
        <v>0.51</v>
      </c>
      <c r="AR29" s="83">
        <v>0.29909999999999998</v>
      </c>
      <c r="AT29" s="75">
        <v>0.21460000000000001</v>
      </c>
      <c r="AU29" s="81">
        <v>0.5</v>
      </c>
      <c r="AV29" s="83">
        <v>0.29070000000000001</v>
      </c>
      <c r="AX29" s="75">
        <v>0.21110000000000001</v>
      </c>
      <c r="AY29" s="81">
        <v>0.44</v>
      </c>
      <c r="AZ29" s="83">
        <v>0.27850000000000003</v>
      </c>
    </row>
    <row r="30" spans="1:52" x14ac:dyDescent="0.3">
      <c r="A30"/>
      <c r="C30"/>
    </row>
    <row r="31" spans="1:52" ht="16.8" x14ac:dyDescent="0.3">
      <c r="A31" s="3"/>
      <c r="B31" s="88"/>
      <c r="C31" s="167" t="s">
        <v>43</v>
      </c>
      <c r="D31" s="165" t="s">
        <v>3</v>
      </c>
      <c r="E31" s="165"/>
      <c r="F31" s="165"/>
      <c r="G31" s="168" t="s">
        <v>2</v>
      </c>
      <c r="H31" s="168"/>
      <c r="I31" s="169"/>
      <c r="J31" s="170" t="s">
        <v>7</v>
      </c>
      <c r="K31" s="168"/>
      <c r="L31" s="169"/>
      <c r="N31" s="165" t="s">
        <v>3</v>
      </c>
      <c r="O31" s="166" t="s">
        <v>42</v>
      </c>
      <c r="P31" s="166"/>
      <c r="R31" s="165" t="s">
        <v>3</v>
      </c>
      <c r="S31" s="166" t="s">
        <v>42</v>
      </c>
      <c r="T31" s="166"/>
      <c r="V31" s="165" t="s">
        <v>3</v>
      </c>
      <c r="W31" s="166" t="s">
        <v>42</v>
      </c>
      <c r="X31" s="166"/>
      <c r="Z31" s="165" t="s">
        <v>3</v>
      </c>
      <c r="AA31" s="166" t="s">
        <v>42</v>
      </c>
      <c r="AB31" s="166"/>
      <c r="AD31" s="165" t="s">
        <v>3</v>
      </c>
      <c r="AE31" s="166" t="s">
        <v>42</v>
      </c>
      <c r="AF31" s="166"/>
      <c r="AH31" s="165" t="s">
        <v>3</v>
      </c>
      <c r="AI31" s="166" t="s">
        <v>42</v>
      </c>
      <c r="AJ31" s="166"/>
      <c r="AL31" s="165" t="s">
        <v>3</v>
      </c>
      <c r="AM31" s="166" t="s">
        <v>42</v>
      </c>
      <c r="AN31" s="166"/>
      <c r="AP31" s="165" t="s">
        <v>3</v>
      </c>
      <c r="AQ31" s="166" t="s">
        <v>42</v>
      </c>
      <c r="AR31" s="166"/>
      <c r="AT31" s="165" t="s">
        <v>3</v>
      </c>
      <c r="AU31" s="166" t="s">
        <v>42</v>
      </c>
      <c r="AV31" s="166"/>
      <c r="AX31" s="165" t="s">
        <v>3</v>
      </c>
      <c r="AY31" s="166" t="s">
        <v>42</v>
      </c>
      <c r="AZ31" s="166"/>
    </row>
    <row r="32" spans="1:52" ht="16.8" x14ac:dyDescent="0.3">
      <c r="A32"/>
      <c r="B32" s="88"/>
      <c r="C32" s="167"/>
      <c r="D32" s="27" t="s">
        <v>15</v>
      </c>
      <c r="E32" s="27" t="s">
        <v>47</v>
      </c>
      <c r="F32" s="27" t="s">
        <v>10</v>
      </c>
      <c r="G32" s="63" t="s">
        <v>15</v>
      </c>
      <c r="H32" s="32" t="s">
        <v>47</v>
      </c>
      <c r="I32" s="32" t="s">
        <v>10</v>
      </c>
      <c r="J32" s="32" t="s">
        <v>15</v>
      </c>
      <c r="K32" s="32" t="s">
        <v>47</v>
      </c>
      <c r="L32" s="32" t="s">
        <v>10</v>
      </c>
      <c r="N32" s="165"/>
      <c r="O32" s="32" t="s">
        <v>2</v>
      </c>
      <c r="P32" s="32" t="s">
        <v>7</v>
      </c>
      <c r="R32" s="165"/>
      <c r="S32" s="32" t="s">
        <v>2</v>
      </c>
      <c r="T32" s="32" t="s">
        <v>7</v>
      </c>
      <c r="V32" s="165"/>
      <c r="W32" s="32" t="s">
        <v>2</v>
      </c>
      <c r="X32" s="32" t="s">
        <v>7</v>
      </c>
      <c r="Z32" s="165"/>
      <c r="AA32" s="32" t="s">
        <v>2</v>
      </c>
      <c r="AB32" s="32" t="s">
        <v>7</v>
      </c>
      <c r="AD32" s="165"/>
      <c r="AE32" s="32" t="s">
        <v>2</v>
      </c>
      <c r="AF32" s="32" t="s">
        <v>7</v>
      </c>
      <c r="AH32" s="165"/>
      <c r="AI32" s="32" t="s">
        <v>2</v>
      </c>
      <c r="AJ32" s="32" t="s">
        <v>7</v>
      </c>
      <c r="AL32" s="165"/>
      <c r="AM32" s="32" t="s">
        <v>2</v>
      </c>
      <c r="AN32" s="32" t="s">
        <v>7</v>
      </c>
      <c r="AP32" s="165"/>
      <c r="AQ32" s="32" t="s">
        <v>2</v>
      </c>
      <c r="AR32" s="32" t="s">
        <v>7</v>
      </c>
      <c r="AT32" s="165"/>
      <c r="AU32" s="32" t="s">
        <v>2</v>
      </c>
      <c r="AV32" s="32" t="s">
        <v>7</v>
      </c>
      <c r="AX32" s="165"/>
      <c r="AY32" s="32" t="s">
        <v>2</v>
      </c>
      <c r="AZ32" s="32" t="s">
        <v>7</v>
      </c>
    </row>
    <row r="33" spans="1:52" ht="16.8" x14ac:dyDescent="0.3">
      <c r="A33"/>
      <c r="B33" s="86" t="s">
        <v>6</v>
      </c>
      <c r="C33" s="78">
        <f>D34/D33-1</f>
        <v>0.39499488992624876</v>
      </c>
      <c r="D33" s="29">
        <f>(N33+R33+V33+Z33+AD33+AH33+AL33+AP33+AT33+AX33)/10</f>
        <v>0.36203000000000002</v>
      </c>
      <c r="E33" s="29">
        <f>SQRT(((N33-D33)^2+(R33-D33)^2+(V33-D33)^2+(Z33-D33)^2+(AD33-D33)^2+(AH33-D33)^2+(AL33-D33)^2+(AP33-D33)^2+(AT33-D33)^2+(AX33-D33)^2)/10)</f>
        <v>1.2039273233879186E-2</v>
      </c>
      <c r="F33" s="79">
        <f>E33/D33</f>
        <v>3.3254904935721308E-2</v>
      </c>
      <c r="G33" s="15">
        <f>(O33+S33+W33+AA33+AE33+AI33+AM33+AQ33+AU33+AY33)/10</f>
        <v>0.52400000000000013</v>
      </c>
      <c r="H33" s="25">
        <f>SQRT(((O33-G33)^2+(S33-G33)^2+(W33-G33)^2+(AA33-G33)^2+(AE33-G33)^2+(AI33-G33)^2+(AM33-G33)^2+(AQ33-G33)^2+(AU33-G33)^2+(AY33-G33)^2)/10)</f>
        <v>2.8354893757515653E-2</v>
      </c>
      <c r="I33" s="31">
        <f>H33/G33</f>
        <v>5.4112392667014592E-2</v>
      </c>
      <c r="J33" s="25">
        <f>(P33+T33+X33+AB33+AF33+AJ33+AN33+AR33+AV33+AZ33)/10</f>
        <v>0.42508000000000001</v>
      </c>
      <c r="K33" s="25">
        <f>SQRT(((P33-J33)^2+(T33-J33)^2+(X33-J33)^2+(AB33-J33)^2+(AF33-J33)^2+(AJ33-J33)^2+(AN33-J33)^2+(AR33-J33)^2+(AV33-J33)^2+(AZ33-J33)^2)/10)</f>
        <v>1.4331629356078108E-2</v>
      </c>
      <c r="L33" s="31">
        <f>K33/J33</f>
        <v>3.3715134459579625E-2</v>
      </c>
      <c r="N33" s="75">
        <v>0.3493</v>
      </c>
      <c r="O33" s="81">
        <v>0.49</v>
      </c>
      <c r="P33" s="25">
        <v>0.40500000000000003</v>
      </c>
      <c r="R33" s="75">
        <v>0.35970000000000002</v>
      </c>
      <c r="S33" s="81">
        <v>0.53</v>
      </c>
      <c r="T33" s="25">
        <v>0.43090000000000001</v>
      </c>
      <c r="V33" s="75">
        <v>0.35970000000000002</v>
      </c>
      <c r="W33" s="81">
        <v>0.53</v>
      </c>
      <c r="X33" s="25">
        <v>0.43090000000000001</v>
      </c>
      <c r="Z33" s="75">
        <v>0.3493</v>
      </c>
      <c r="AA33" s="81">
        <v>0.49</v>
      </c>
      <c r="AB33" s="25">
        <v>0.40500000000000003</v>
      </c>
      <c r="AD33" s="75">
        <v>0.35970000000000002</v>
      </c>
      <c r="AE33" s="81">
        <v>0.53</v>
      </c>
      <c r="AF33" s="25">
        <v>0.43090000000000001</v>
      </c>
      <c r="AH33" s="75">
        <v>0.39429999999999998</v>
      </c>
      <c r="AI33" s="81">
        <v>0.49</v>
      </c>
      <c r="AJ33" s="25">
        <v>0.40500000000000003</v>
      </c>
      <c r="AL33" s="75">
        <v>0.35970000000000002</v>
      </c>
      <c r="AM33" s="81">
        <v>0.53</v>
      </c>
      <c r="AN33" s="25">
        <v>0.43090000000000001</v>
      </c>
      <c r="AP33" s="75">
        <v>0.36919999999999997</v>
      </c>
      <c r="AQ33" s="81">
        <v>0.59</v>
      </c>
      <c r="AR33" s="25">
        <v>0.45040000000000002</v>
      </c>
      <c r="AT33" s="75">
        <v>0.35970000000000002</v>
      </c>
      <c r="AU33" s="81">
        <v>0.53</v>
      </c>
      <c r="AV33" s="25">
        <v>0.43090000000000001</v>
      </c>
      <c r="AX33" s="75">
        <v>0.35970000000000002</v>
      </c>
      <c r="AY33" s="81">
        <v>0.53</v>
      </c>
      <c r="AZ33" s="25">
        <v>0.43090000000000001</v>
      </c>
    </row>
    <row r="34" spans="1:52" ht="33.6" x14ac:dyDescent="0.3">
      <c r="A34" s="3"/>
      <c r="B34" s="86" t="s">
        <v>46</v>
      </c>
      <c r="C34" s="80"/>
      <c r="D34" s="29">
        <f>(N34+R34+V34+Z34+AD34+AH34+AL34+AP34+AT34+AX34)/10</f>
        <v>0.50502999999999987</v>
      </c>
      <c r="E34" s="29">
        <f>SQRT(((N34-D34)^2+(R34-D34)^2+(V34-D34)^2+(Z34-D34)^2+(AD34-D34)^2+(AH34-D34)^2+(AL34-D34)^2+(AP34-D34)^2+(AT34-D34)^2+(AX34-D34)^2)/10)</f>
        <v>2.3790882707457481E-2</v>
      </c>
      <c r="F34" s="79">
        <f>E34/D34</f>
        <v>4.7107860339895627E-2</v>
      </c>
      <c r="G34" s="15">
        <f>(O34+S34+W34+AA34+AE34+AI34+AM34+AQ34+AU34+AY34)/10</f>
        <v>0.59300000000000008</v>
      </c>
      <c r="H34" s="25">
        <f>SQRT(((O34-G34)^2+(S34-G34)^2+(W34-G34)^2+(AA34-G34)^2+(AE34-G34)^2+(AI34-G34)^2+(AM34-G34)^2+(AQ34-G34)^2+(AU34-G34)^2+(AY34-G34)^2)/10)</f>
        <v>3.4073450074801642E-2</v>
      </c>
      <c r="I34" s="62">
        <f>H34/G34</f>
        <v>5.7459443633729575E-2</v>
      </c>
      <c r="J34" s="25">
        <f>(P34+T34+X34+AB34+AF34+AJ34+AN34+AR34+AV34+AZ34)/10</f>
        <v>0.47932000000000008</v>
      </c>
      <c r="K34" s="25">
        <f>SQRT(((P34-J34)^2+(T34-J34)^2+(X34-J34)^2+(AB34-J34)^2+(AF34-J34)^2+(AJ34-J34)^2+(AN34-J34)^2+(AR34-J34)^2+(AV34-J34)^2+(AZ34-J34)^2)/10)</f>
        <v>2.6311320757423019E-2</v>
      </c>
      <c r="L34" s="62">
        <f>K34/J34</f>
        <v>5.4893016684934938E-2</v>
      </c>
      <c r="N34" s="75">
        <v>0.53869999999999996</v>
      </c>
      <c r="O34" s="81">
        <v>0.63</v>
      </c>
      <c r="P34" s="25">
        <v>0.51639999999999997</v>
      </c>
      <c r="R34" s="75">
        <v>0.50070000000000003</v>
      </c>
      <c r="S34" s="81">
        <v>0.56000000000000005</v>
      </c>
      <c r="T34" s="25">
        <v>0.46089999999999998</v>
      </c>
      <c r="V34" s="75">
        <v>0.4869</v>
      </c>
      <c r="W34" s="81">
        <v>0.55000000000000004</v>
      </c>
      <c r="X34" s="25">
        <v>0.45450000000000002</v>
      </c>
      <c r="Z34" s="75">
        <v>0.54579999999999995</v>
      </c>
      <c r="AA34" s="81">
        <v>0.59</v>
      </c>
      <c r="AB34" s="25">
        <v>0.47770000000000001</v>
      </c>
      <c r="AD34" s="75">
        <v>0.4703</v>
      </c>
      <c r="AE34" s="81">
        <v>0.56999999999999995</v>
      </c>
      <c r="AF34" s="25">
        <v>0.43680000000000002</v>
      </c>
      <c r="AH34" s="75">
        <v>0.48570000000000002</v>
      </c>
      <c r="AI34" s="81">
        <v>0.59</v>
      </c>
      <c r="AJ34" s="25">
        <v>0.48759999999999998</v>
      </c>
      <c r="AL34" s="75">
        <v>0.5282</v>
      </c>
      <c r="AM34" s="81">
        <v>0.59</v>
      </c>
      <c r="AN34" s="25">
        <v>0.48359999999999997</v>
      </c>
      <c r="AP34" s="75">
        <v>0.50339999999999996</v>
      </c>
      <c r="AQ34" s="81">
        <v>0.56999999999999995</v>
      </c>
      <c r="AR34" s="25">
        <v>0.45419999999999999</v>
      </c>
      <c r="AT34" s="75">
        <v>0.50549999999999995</v>
      </c>
      <c r="AU34" s="81">
        <v>0.67</v>
      </c>
      <c r="AV34" s="25">
        <v>0.51739999999999997</v>
      </c>
      <c r="AX34" s="75">
        <v>0.48509999999999998</v>
      </c>
      <c r="AY34" s="81">
        <v>0.61</v>
      </c>
      <c r="AZ34" s="25">
        <v>0.50409999999999999</v>
      </c>
    </row>
    <row r="35" spans="1:52" ht="16.8" x14ac:dyDescent="0.3">
      <c r="B35" s="86" t="s">
        <v>5</v>
      </c>
      <c r="C35" s="78">
        <f>D34/D35-1</f>
        <v>0.43862697621421431</v>
      </c>
      <c r="D35" s="29">
        <f>(N35+R35+V35+Z35+AD35+AH35+AL35+AP35+AT35+AX35)/10</f>
        <v>0.35104999999999997</v>
      </c>
      <c r="E35" s="29">
        <f>SQRT(((N35-D35)^2+(R35-D35)^2+(V35-D35)^2+(Z35-D35)^2+(AD35-D35)^2+(AH35-D35)^2+(AL35-D35)^2+(AP35-D35)^2+(AT35-D35)^2+(AX35-D35)^2)/10)</f>
        <v>1.9003960113618421E-2</v>
      </c>
      <c r="F35" s="79">
        <f>E35/D35</f>
        <v>5.4134625020989667E-2</v>
      </c>
      <c r="G35" s="15">
        <f>(O35+S35+W35+AA35+AE35+AI35+AM35+AQ35+AU35+AY35)/10</f>
        <v>0.39900000000000002</v>
      </c>
      <c r="H35" s="25">
        <f>SQRT(((O35-G35)^2+(S35-G35)^2+(W35-G35)^2+(AA35-G35)^2+(AE35-G35)^2+(AI35-G35)^2+(AM35-G35)^2+(AQ35-G35)^2+(AU35-G35)^2+(AY35-G35)^2)/10)</f>
        <v>4.4147480109288227E-2</v>
      </c>
      <c r="I35" s="31">
        <f>H35/G35</f>
        <v>0.11064531355711335</v>
      </c>
      <c r="J35" s="25">
        <f>(P35+T35+X35+AB35+AF35+AJ35+AN35+AR35+AV35+AZ35)/10</f>
        <v>0.39350999999999997</v>
      </c>
      <c r="K35" s="25">
        <f>SQRT(((P35-J35)^2+(T35-J35)^2+(X35-J35)^2+(AB35-J35)^2+(AF35-J35)^2+(AJ35-J35)^2+(AN35-J35)^2+(AR35-J35)^2+(AV35-J35)^2+(AZ35-J35)^2)/10)</f>
        <v>3.3481351525886764E-2</v>
      </c>
      <c r="L35" s="31">
        <f>K35/J35</f>
        <v>8.5083864516497076E-2</v>
      </c>
      <c r="N35" s="75">
        <v>0.33310000000000001</v>
      </c>
      <c r="O35" s="25">
        <v>0.42</v>
      </c>
      <c r="P35" s="25">
        <v>0.40379999999999999</v>
      </c>
      <c r="R35" s="75">
        <v>0.35959999999999998</v>
      </c>
      <c r="S35" s="81">
        <v>0.38</v>
      </c>
      <c r="T35" s="82">
        <v>0.35510000000000003</v>
      </c>
      <c r="V35" s="75">
        <v>0.3604</v>
      </c>
      <c r="W35" s="81">
        <v>0.42</v>
      </c>
      <c r="X35" s="82">
        <v>0.42859999999999998</v>
      </c>
      <c r="Z35" s="75">
        <v>0.32800000000000001</v>
      </c>
      <c r="AA35" s="81">
        <v>0.34</v>
      </c>
      <c r="AB35" s="82">
        <v>0.34689999999999999</v>
      </c>
      <c r="AD35" s="75">
        <v>0.36570000000000003</v>
      </c>
      <c r="AE35" s="81">
        <v>0.42</v>
      </c>
      <c r="AF35" s="82">
        <v>0.41789999999999999</v>
      </c>
      <c r="AH35" s="75">
        <v>0.33489999999999998</v>
      </c>
      <c r="AI35" s="81">
        <v>0.35</v>
      </c>
      <c r="AJ35" s="82">
        <v>0.36080000000000001</v>
      </c>
      <c r="AL35" s="75">
        <v>0.36430000000000001</v>
      </c>
      <c r="AM35" s="81">
        <v>0.38</v>
      </c>
      <c r="AN35" s="82">
        <v>0.39789999999999998</v>
      </c>
      <c r="AP35" s="75">
        <v>0.32140000000000002</v>
      </c>
      <c r="AQ35" s="81">
        <v>0.35</v>
      </c>
      <c r="AR35" s="82">
        <v>0.35709999999999997</v>
      </c>
      <c r="AT35" s="75">
        <v>0.38219999999999998</v>
      </c>
      <c r="AU35" s="81">
        <v>0.45</v>
      </c>
      <c r="AV35" s="82">
        <v>0.43059999999999998</v>
      </c>
      <c r="AX35" s="75">
        <v>0.3609</v>
      </c>
      <c r="AY35" s="81">
        <v>0.48</v>
      </c>
      <c r="AZ35" s="82">
        <v>0.43640000000000001</v>
      </c>
    </row>
    <row r="36" spans="1:52" ht="16.8" x14ac:dyDescent="0.3">
      <c r="B36" s="86" t="s">
        <v>1</v>
      </c>
      <c r="C36" s="87">
        <f>D34/D36-1</f>
        <v>-6.1038188376157598E-2</v>
      </c>
      <c r="D36" s="29">
        <f>(N36+R36+V36+Z36+AD36+AH36+AL36+AP36+AT36+AX36)/10</f>
        <v>0.53786</v>
      </c>
      <c r="E36" s="29">
        <f>SQRT(((N36-D36)^2+(R36-D36)^2+(V36-D36)^2+(Z36-D36)^2+(AD36-D36)^2+(AH36-D36)^2+(AL36-D36)^2+(AP36-D36)^2+(AT36-D36)^2+(AX36-D36)^2)/10)</f>
        <v>3.1181026282019651E-2</v>
      </c>
      <c r="F36" s="79">
        <f>E36/D36</f>
        <v>5.7972383672367622E-2</v>
      </c>
      <c r="G36" s="15">
        <f>(O36+S36+W36+AA36+AE36+AI36+AM36+AQ36+AU36+AY36)/10</f>
        <v>0.54399999999999993</v>
      </c>
      <c r="H36" s="25">
        <f>SQRT(((O36-G36)^2+(S36-G36)^2+(W36-G36)^2+(AA36-G36)^2+(AE36-G36)^2+(AI36-G36)^2+(AM36-G36)^2+(AQ36-G36)^2+(AU36-G36)^2+(AY36-G36)^2)/10)</f>
        <v>3.8781438859330622E-2</v>
      </c>
      <c r="I36" s="31">
        <f>H36/G36</f>
        <v>7.1289409667887188E-2</v>
      </c>
      <c r="J36" s="25">
        <f>(P36+T36+X36+AB36+AF36+AJ36+AN36+AR36+AV36+AZ36)/10</f>
        <v>0.49041999999999997</v>
      </c>
      <c r="K36" s="25">
        <f>SQRT(((P36-J36)^2+(T36-J36)^2+(X36-J36)^2+(AB36-J36)^2+(AF36-J36)^2+(AJ36-J36)^2+(AN36-J36)^2+(AR36-J36)^2+(AV36-J36)^2+(AZ36-J36)^2)/10)</f>
        <v>2.7043254242047135E-2</v>
      </c>
      <c r="L36" s="31">
        <f>K36/J36</f>
        <v>5.5143049308851874E-2</v>
      </c>
      <c r="N36" s="75">
        <v>0.54169999999999996</v>
      </c>
      <c r="O36" s="25">
        <v>0.56999999999999995</v>
      </c>
      <c r="P36" s="25">
        <v>0.49349999999999999</v>
      </c>
      <c r="R36" s="75">
        <v>0.54530000000000001</v>
      </c>
      <c r="S36" s="81">
        <v>0.55000000000000004</v>
      </c>
      <c r="T36" s="83">
        <v>0.5</v>
      </c>
      <c r="V36" s="75">
        <v>0.55020000000000002</v>
      </c>
      <c r="W36" s="81">
        <v>0.54</v>
      </c>
      <c r="X36" s="83">
        <v>0.51180000000000003</v>
      </c>
      <c r="Z36" s="75">
        <v>0.55710000000000004</v>
      </c>
      <c r="AA36" s="81">
        <v>0.56999999999999995</v>
      </c>
      <c r="AB36" s="83">
        <v>0.50670000000000004</v>
      </c>
      <c r="AD36" s="75">
        <v>0.55620000000000003</v>
      </c>
      <c r="AE36" s="81">
        <v>0.54</v>
      </c>
      <c r="AF36" s="83">
        <v>0.47789999999999999</v>
      </c>
      <c r="AH36" s="75">
        <v>0.56279999999999997</v>
      </c>
      <c r="AI36" s="81">
        <v>0.56999999999999995</v>
      </c>
      <c r="AJ36" s="83">
        <v>0.49569999999999997</v>
      </c>
      <c r="AL36" s="75">
        <v>0.44769999999999999</v>
      </c>
      <c r="AM36" s="81">
        <v>0.44</v>
      </c>
      <c r="AN36" s="83">
        <v>0.41899999999999998</v>
      </c>
      <c r="AP36" s="75">
        <v>0.53800000000000003</v>
      </c>
      <c r="AQ36" s="81">
        <v>0.56000000000000005</v>
      </c>
      <c r="AR36" s="83">
        <v>0.51139999999999997</v>
      </c>
      <c r="AT36" s="75">
        <v>0.54400000000000004</v>
      </c>
      <c r="AU36" s="81">
        <v>0.57999999999999996</v>
      </c>
      <c r="AV36" s="83">
        <v>0.51329999999999998</v>
      </c>
      <c r="AX36" s="75">
        <v>0.53559999999999997</v>
      </c>
      <c r="AY36" s="81">
        <v>0.52</v>
      </c>
      <c r="AZ36" s="83">
        <v>0.47489999999999999</v>
      </c>
    </row>
    <row r="37" spans="1:52" ht="16.8" x14ac:dyDescent="0.3">
      <c r="B37" s="86" t="s">
        <v>11</v>
      </c>
      <c r="C37" s="78">
        <f>D34/D37-1</f>
        <v>1.4498180936211491</v>
      </c>
      <c r="D37" s="29">
        <f>(N37+R37+V37+Z37+AD37+AH37+AL37+AP37+AT37+AX37)/10</f>
        <v>0.20615</v>
      </c>
      <c r="E37" s="29">
        <f>SQRT(((N37-D37)^2+(R37-D37)^2+(V37-D37)^2+(Z37-D37)^2+(AD37-D37)^2+(AH37-D37)^2+(AL37-D37)^2+(AP37-D37)^2+(AT37-D37)^2+(AX37-D37)^2)/10)</f>
        <v>1.0437935619652007E-2</v>
      </c>
      <c r="F37" s="79">
        <f>E37/D37</f>
        <v>5.0632721899839958E-2</v>
      </c>
      <c r="G37" s="15">
        <f>(O37+S37+W37+AA37+AE37+AI37+AM37+AQ37+AU37+AY37)/10</f>
        <v>0.48600000000000004</v>
      </c>
      <c r="H37" s="25">
        <f>SQRT(((O37-G37)^2+(S37-G37)^2+(W37-G37)^2+(AA37-G37)^2+(AE37-G37)^2+(AI37-G37)^2+(AM37-G37)^2+(AQ37-G37)^2+(AU37-G37)^2+(AY37-G37)^2)/10)</f>
        <v>2.9732137494637018E-2</v>
      </c>
      <c r="I37" s="31">
        <f>H37/G37</f>
        <v>6.1177237643286038E-2</v>
      </c>
      <c r="J37" s="25">
        <f>(P37+T37+X37+AB37+AF37+AJ37+AN37+AR37+AV37+AZ37)/10</f>
        <v>0.29174000000000005</v>
      </c>
      <c r="K37" s="25">
        <f>SQRT(((P37-J37)^2+(T37-J37)^2+(X37-J37)^2+(AB37-J37)^2+(AF37-J37)^2+(AJ37-J37)^2+(AN37-J37)^2+(AR37-J37)^2+(AV37-J37)^2+(AZ37-J37)^2)/10)</f>
        <v>1.3107494039670578E-2</v>
      </c>
      <c r="L37" s="31">
        <f>K37/J37</f>
        <v>4.4928683209949187E-2</v>
      </c>
      <c r="N37" s="75">
        <v>0.1928</v>
      </c>
      <c r="O37" s="81">
        <v>0.45</v>
      </c>
      <c r="P37" s="25">
        <v>0.28039999999999998</v>
      </c>
      <c r="R37" s="75">
        <v>0.21410000000000001</v>
      </c>
      <c r="S37" s="81">
        <v>0.5</v>
      </c>
      <c r="T37" s="83">
        <v>0.29239999999999999</v>
      </c>
      <c r="V37" s="75">
        <v>0.2175</v>
      </c>
      <c r="W37" s="81">
        <v>0.51</v>
      </c>
      <c r="X37" s="83">
        <v>0.30909999999999999</v>
      </c>
      <c r="Z37" s="75">
        <v>0.18729999999999999</v>
      </c>
      <c r="AA37" s="81">
        <v>0.46</v>
      </c>
      <c r="AB37" s="83">
        <v>0.27300000000000002</v>
      </c>
      <c r="AD37" s="75">
        <v>0.19239999999999999</v>
      </c>
      <c r="AE37" s="81">
        <v>0.48</v>
      </c>
      <c r="AF37" s="83">
        <v>0.29089999999999999</v>
      </c>
      <c r="AH37" s="75">
        <v>0.2112</v>
      </c>
      <c r="AI37" s="81">
        <v>0.47</v>
      </c>
      <c r="AJ37" s="83">
        <v>0.28570000000000001</v>
      </c>
      <c r="AL37" s="75">
        <v>0.21340000000000001</v>
      </c>
      <c r="AM37" s="81">
        <v>0.54</v>
      </c>
      <c r="AN37" s="83">
        <v>0.31759999999999999</v>
      </c>
      <c r="AO37" s="34"/>
      <c r="AP37" s="84">
        <v>0.20710000000000001</v>
      </c>
      <c r="AQ37" s="85">
        <v>0.51</v>
      </c>
      <c r="AR37" s="83">
        <v>0.29909999999999998</v>
      </c>
      <c r="AT37" s="75">
        <v>0.21460000000000001</v>
      </c>
      <c r="AU37" s="81">
        <v>0.5</v>
      </c>
      <c r="AV37" s="83">
        <v>0.29070000000000001</v>
      </c>
      <c r="AX37" s="75">
        <v>0.21110000000000001</v>
      </c>
      <c r="AY37" s="81">
        <v>0.44</v>
      </c>
      <c r="AZ37" s="83">
        <v>0.27850000000000003</v>
      </c>
    </row>
  </sheetData>
  <mergeCells count="110">
    <mergeCell ref="AX6:AZ6"/>
    <mergeCell ref="C7:C8"/>
    <mergeCell ref="D7:F7"/>
    <mergeCell ref="G7:I7"/>
    <mergeCell ref="J7:L7"/>
    <mergeCell ref="N7:N8"/>
    <mergeCell ref="O7:P7"/>
    <mergeCell ref="B2:AZ2"/>
    <mergeCell ref="B3:AZ3"/>
    <mergeCell ref="N5:AZ5"/>
    <mergeCell ref="G6:K6"/>
    <mergeCell ref="N6:P6"/>
    <mergeCell ref="R6:T6"/>
    <mergeCell ref="V6:X6"/>
    <mergeCell ref="Z6:AB6"/>
    <mergeCell ref="AD6:AF6"/>
    <mergeCell ref="AH6:AJ6"/>
    <mergeCell ref="R7:R8"/>
    <mergeCell ref="S7:T7"/>
    <mergeCell ref="V7:V8"/>
    <mergeCell ref="W7:X7"/>
    <mergeCell ref="Z7:Z8"/>
    <mergeCell ref="AA7:AB7"/>
    <mergeCell ref="AL6:AN6"/>
    <mergeCell ref="AP6:AR6"/>
    <mergeCell ref="AT6:AV6"/>
    <mergeCell ref="AP7:AP8"/>
    <mergeCell ref="AQ7:AR7"/>
    <mergeCell ref="AT7:AT8"/>
    <mergeCell ref="AU7:AV7"/>
    <mergeCell ref="AX7:AX8"/>
    <mergeCell ref="AY7:AZ7"/>
    <mergeCell ref="AD7:AD8"/>
    <mergeCell ref="AE7:AF7"/>
    <mergeCell ref="AH7:AH8"/>
    <mergeCell ref="AI7:AJ7"/>
    <mergeCell ref="AL7:AL8"/>
    <mergeCell ref="AM7:AN7"/>
    <mergeCell ref="R15:R16"/>
    <mergeCell ref="S15:T15"/>
    <mergeCell ref="V15:V16"/>
    <mergeCell ref="W15:X15"/>
    <mergeCell ref="Z15:Z16"/>
    <mergeCell ref="AA15:AB15"/>
    <mergeCell ref="C15:C16"/>
    <mergeCell ref="D15:F15"/>
    <mergeCell ref="G15:I15"/>
    <mergeCell ref="J15:L15"/>
    <mergeCell ref="N15:N16"/>
    <mergeCell ref="O15:P15"/>
    <mergeCell ref="AP15:AP16"/>
    <mergeCell ref="AQ15:AR15"/>
    <mergeCell ref="AT15:AT16"/>
    <mergeCell ref="AU15:AV15"/>
    <mergeCell ref="AX15:AX16"/>
    <mergeCell ref="AY15:AZ15"/>
    <mergeCell ref="AD15:AD16"/>
    <mergeCell ref="AE15:AF15"/>
    <mergeCell ref="AH15:AH16"/>
    <mergeCell ref="AI15:AJ15"/>
    <mergeCell ref="AL15:AL16"/>
    <mergeCell ref="AM15:AN15"/>
    <mergeCell ref="R23:R24"/>
    <mergeCell ref="S23:T23"/>
    <mergeCell ref="V23:V24"/>
    <mergeCell ref="W23:X23"/>
    <mergeCell ref="Z23:Z24"/>
    <mergeCell ref="AA23:AB23"/>
    <mergeCell ref="C23:C24"/>
    <mergeCell ref="D23:F23"/>
    <mergeCell ref="G23:I23"/>
    <mergeCell ref="J23:L23"/>
    <mergeCell ref="N23:N24"/>
    <mergeCell ref="O23:P23"/>
    <mergeCell ref="AP23:AP24"/>
    <mergeCell ref="AQ23:AR23"/>
    <mergeCell ref="AT23:AT24"/>
    <mergeCell ref="AU23:AV23"/>
    <mergeCell ref="AX23:AX24"/>
    <mergeCell ref="AY23:AZ23"/>
    <mergeCell ref="AD23:AD24"/>
    <mergeCell ref="AE23:AF23"/>
    <mergeCell ref="AH23:AH24"/>
    <mergeCell ref="AI23:AJ23"/>
    <mergeCell ref="AL23:AL24"/>
    <mergeCell ref="AM23:AN23"/>
    <mergeCell ref="R31:R32"/>
    <mergeCell ref="S31:T31"/>
    <mergeCell ref="V31:V32"/>
    <mergeCell ref="W31:X31"/>
    <mergeCell ref="Z31:Z32"/>
    <mergeCell ref="AA31:AB31"/>
    <mergeCell ref="C31:C32"/>
    <mergeCell ref="D31:F31"/>
    <mergeCell ref="G31:I31"/>
    <mergeCell ref="J31:L31"/>
    <mergeCell ref="N31:N32"/>
    <mergeCell ref="O31:P31"/>
    <mergeCell ref="AP31:AP32"/>
    <mergeCell ref="AQ31:AR31"/>
    <mergeCell ref="AT31:AT32"/>
    <mergeCell ref="AU31:AV31"/>
    <mergeCell ref="AX31:AX32"/>
    <mergeCell ref="AY31:AZ31"/>
    <mergeCell ref="AD31:AD32"/>
    <mergeCell ref="AE31:AF31"/>
    <mergeCell ref="AH31:AH32"/>
    <mergeCell ref="AI31:AJ31"/>
    <mergeCell ref="AL31:AL32"/>
    <mergeCell ref="AM31:AN3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Summary of Results</vt:lpstr>
      <vt:lpstr>Ablations </vt:lpstr>
      <vt:lpstr>&gt;&gt;&gt;</vt:lpstr>
      <vt:lpstr>BAF</vt:lpstr>
      <vt:lpstr>Fraud Detection</vt:lpstr>
      <vt:lpstr>Road_safety</vt:lpstr>
      <vt:lpstr>NIDS</vt:lpstr>
      <vt:lpstr>Epsilon30</vt:lpstr>
      <vt:lpstr>Adult</vt:lpstr>
      <vt:lpstr>Card Default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Жарков Дмитрий Вячеславович</dc:creator>
  <cp:lastModifiedBy>Дмитрий Жарков</cp:lastModifiedBy>
  <dcterms:created xsi:type="dcterms:W3CDTF">2026-04-16T07:25:11Z</dcterms:created>
  <dcterms:modified xsi:type="dcterms:W3CDTF">2026-08-02T10:37:16Z</dcterms:modified>
</cp:coreProperties>
</file>